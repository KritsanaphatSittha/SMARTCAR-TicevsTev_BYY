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cer\Desktop\รายงานโครงงาน ปี 2569\ส่งรายงาน\"/>
    </mc:Choice>
  </mc:AlternateContent>
  <xr:revisionPtr revIDLastSave="0" documentId="13_ncr:1_{E0CB4F49-F21A-454B-B9D3-F658131B8A0F}" xr6:coauthVersionLast="47" xr6:coauthVersionMax="47" xr10:uidLastSave="{00000000-0000-0000-0000-000000000000}"/>
  <bookViews>
    <workbookView xWindow="-108" yWindow="-108" windowWidth="23256" windowHeight="12456" tabRatio="917" xr2:uid="{C5CDFC29-623C-4333-ABD1-E8D5D743478B}"/>
  </bookViews>
  <sheets>
    <sheet name="ตารางคำนวน" sheetId="14" r:id="rId1"/>
    <sheet name="ราคาเริ่มต้น" sheetId="2" r:id="rId2"/>
    <sheet name="ค่าพลังงาน" sheetId="11" r:id="rId3"/>
    <sheet name="ภาษีประจำปี" sheetId="3" r:id="rId4"/>
    <sheet name="ประกันภัยบังคับ" sheetId="4" r:id="rId5"/>
    <sheet name="ประกันภัยชั้น1" sheetId="7" r:id="rId6"/>
    <sheet name="แบตเตอร์รี่ (ปี)" sheetId="13" r:id="rId7"/>
    <sheet name="แบตเตอรี(ระยะทาง) " sheetId="12" r:id="rId8"/>
    <sheet name="แบตเตอรีไฟฟ้า (ปี)" sheetId="10" r:id="rId9"/>
    <sheet name="แบตเตอรีรถไฟฟ้า(ระยะทาง)" sheetId="5" r:id="rId10"/>
    <sheet name="ยางรถ(ระยะทาง)" sheetId="6" r:id="rId11"/>
    <sheet name="ยางรถ (ปี)" sheetId="8" r:id="rId12"/>
    <sheet name="ค่าบำรุงรักษา(ปี)" sheetId="1" r:id="rId13"/>
    <sheet name="ค่าบำรุงรักษา (ระยะทาง)" sheetId="9" r:id="rId14"/>
  </sheets>
  <calcPr calcId="191028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0" i="14" l="1"/>
  <c r="AX5" i="6"/>
  <c r="J14" i="8"/>
  <c r="J8" i="8"/>
  <c r="J9" i="8"/>
  <c r="J10" i="8"/>
  <c r="J11" i="8"/>
  <c r="J12" i="8"/>
  <c r="J13" i="8"/>
  <c r="J7" i="8"/>
  <c r="G8" i="8"/>
  <c r="G9" i="8"/>
  <c r="G10" i="8"/>
  <c r="G11" i="8"/>
  <c r="G12" i="8"/>
  <c r="G13" i="8"/>
  <c r="G14" i="8"/>
  <c r="D4" i="14"/>
  <c r="H17" i="14" s="1"/>
  <c r="C3" i="11"/>
  <c r="C16" i="11"/>
  <c r="C17" i="11"/>
  <c r="C18" i="11"/>
  <c r="C19" i="11"/>
  <c r="C20" i="11"/>
  <c r="C15" i="11"/>
  <c r="C1" i="11"/>
  <c r="C13" i="11"/>
  <c r="C2" i="11"/>
  <c r="C9" i="11"/>
  <c r="C10" i="11"/>
  <c r="C11" i="11"/>
  <c r="C12" i="11"/>
  <c r="D2" i="11"/>
  <c r="D3" i="11"/>
  <c r="D1" i="11"/>
  <c r="C14" i="11"/>
  <c r="B2" i="11"/>
  <c r="B3" i="11"/>
  <c r="B1" i="11"/>
  <c r="D14" i="1"/>
  <c r="F14" i="1"/>
  <c r="D15" i="1"/>
  <c r="F15" i="1"/>
  <c r="D16" i="1"/>
  <c r="F16" i="1"/>
  <c r="D17" i="1"/>
  <c r="F17" i="1"/>
  <c r="D18" i="1"/>
  <c r="F18" i="1"/>
  <c r="D13" i="1"/>
  <c r="F13" i="1"/>
  <c r="D6" i="1"/>
  <c r="F6" i="1"/>
  <c r="D7" i="1"/>
  <c r="F7" i="1"/>
  <c r="D8" i="1"/>
  <c r="F8" i="1"/>
  <c r="D9" i="1"/>
  <c r="F9" i="1"/>
  <c r="D10" i="1"/>
  <c r="F10" i="1"/>
  <c r="D11" i="1"/>
  <c r="F11" i="1"/>
  <c r="D12" i="1"/>
  <c r="F12" i="1"/>
  <c r="D5" i="1"/>
  <c r="F5" i="1"/>
  <c r="H5" i="1"/>
  <c r="J5" i="1"/>
  <c r="C6" i="9"/>
  <c r="C7" i="9"/>
  <c r="C8" i="9"/>
  <c r="C9" i="9"/>
  <c r="C10" i="9"/>
  <c r="C11" i="9"/>
  <c r="C12" i="9"/>
  <c r="C13" i="9"/>
  <c r="C14" i="9"/>
  <c r="C15" i="9"/>
  <c r="C16" i="9"/>
  <c r="C17" i="9"/>
  <c r="C18" i="9"/>
  <c r="C5" i="9"/>
  <c r="H8" i="8"/>
  <c r="H9" i="8"/>
  <c r="H13" i="8"/>
  <c r="H15" i="8"/>
  <c r="H16" i="8"/>
  <c r="H17" i="8"/>
  <c r="H18" i="8"/>
  <c r="H19" i="8"/>
  <c r="H20" i="8"/>
  <c r="AZ18" i="5"/>
  <c r="AI18" i="5"/>
  <c r="AI16" i="5"/>
  <c r="AI14" i="5"/>
  <c r="H7" i="1"/>
  <c r="J7" i="1"/>
  <c r="L7" i="1"/>
  <c r="N7" i="1"/>
  <c r="H16" i="1"/>
  <c r="J16" i="1"/>
  <c r="L16" i="1"/>
  <c r="N16" i="1"/>
  <c r="P16" i="1"/>
  <c r="R16" i="1"/>
  <c r="T16" i="1"/>
  <c r="V16" i="1"/>
  <c r="X16" i="1"/>
  <c r="Z16" i="1"/>
  <c r="AB16" i="1"/>
  <c r="AD16" i="1"/>
  <c r="AF16" i="1"/>
  <c r="AH16" i="1"/>
  <c r="AJ16" i="1"/>
  <c r="AL16" i="1"/>
  <c r="AN16" i="1"/>
  <c r="AP16" i="1"/>
  <c r="AR16" i="1"/>
  <c r="AT16" i="1"/>
  <c r="AV16" i="1"/>
  <c r="AX16" i="1"/>
  <c r="AZ16" i="1"/>
  <c r="BB16" i="1"/>
  <c r="BD16" i="1"/>
  <c r="BF16" i="1"/>
  <c r="BH16" i="1"/>
  <c r="BJ16" i="1"/>
  <c r="BL16" i="1"/>
  <c r="BN16" i="1"/>
  <c r="BP16" i="1"/>
  <c r="BR16" i="1"/>
  <c r="BT16" i="1"/>
  <c r="BV16" i="1"/>
  <c r="BX16" i="1"/>
  <c r="BZ16" i="1"/>
  <c r="CB16" i="1"/>
  <c r="CD16" i="1"/>
  <c r="CF16" i="1"/>
  <c r="CH16" i="1"/>
  <c r="CJ16" i="1"/>
  <c r="CL16" i="1"/>
  <c r="CN16" i="1"/>
  <c r="CP16" i="1"/>
  <c r="CR16" i="1"/>
  <c r="CT16" i="1"/>
  <c r="L5" i="1"/>
  <c r="N5" i="1"/>
  <c r="P5" i="1"/>
  <c r="R5" i="1"/>
  <c r="T5" i="1"/>
  <c r="V5" i="1"/>
  <c r="X5" i="1"/>
  <c r="Z5" i="1"/>
  <c r="AB5" i="1"/>
  <c r="AD5" i="1"/>
  <c r="AF5" i="1"/>
  <c r="AH5" i="1"/>
  <c r="AJ5" i="1"/>
  <c r="AL5" i="1"/>
  <c r="AN5" i="1"/>
  <c r="AP5" i="1"/>
  <c r="AR5" i="1"/>
  <c r="AT5" i="1"/>
  <c r="AV5" i="1"/>
  <c r="AX5" i="1"/>
  <c r="AZ5" i="1"/>
  <c r="BB5" i="1"/>
  <c r="BD5" i="1"/>
  <c r="BF5" i="1"/>
  <c r="BH5" i="1"/>
  <c r="BJ5" i="1"/>
  <c r="BL5" i="1"/>
  <c r="BN5" i="1"/>
  <c r="BP5" i="1"/>
  <c r="BR5" i="1"/>
  <c r="BT5" i="1"/>
  <c r="BV5" i="1"/>
  <c r="BX5" i="1"/>
  <c r="BZ5" i="1"/>
  <c r="CB5" i="1"/>
  <c r="CD5" i="1"/>
  <c r="CF5" i="1"/>
  <c r="CH5" i="1"/>
  <c r="CJ5" i="1"/>
  <c r="CL5" i="1"/>
  <c r="CN5" i="1"/>
  <c r="CP5" i="1"/>
  <c r="CR5" i="1"/>
  <c r="CT5" i="1"/>
  <c r="E6" i="9"/>
  <c r="G6" i="9"/>
  <c r="I6" i="9"/>
  <c r="K6" i="9"/>
  <c r="M6" i="9"/>
  <c r="O6" i="9"/>
  <c r="Q6" i="9"/>
  <c r="S6" i="9"/>
  <c r="U6" i="9"/>
  <c r="W6" i="9"/>
  <c r="Y6" i="9"/>
  <c r="AA6" i="9"/>
  <c r="AC6" i="9"/>
  <c r="AE6" i="9"/>
  <c r="AG6" i="9"/>
  <c r="AI6" i="9"/>
  <c r="AK6" i="9"/>
  <c r="AM6" i="9"/>
  <c r="AO6" i="9"/>
  <c r="AQ6" i="9"/>
  <c r="AS6" i="9"/>
  <c r="AU6" i="9"/>
  <c r="AW6" i="9"/>
  <c r="AY6" i="9"/>
  <c r="BA6" i="9"/>
  <c r="BC6" i="9"/>
  <c r="BE6" i="9"/>
  <c r="BG6" i="9"/>
  <c r="BI6" i="9"/>
  <c r="BK6" i="9"/>
  <c r="BM6" i="9"/>
  <c r="BO6" i="9"/>
  <c r="BQ6" i="9"/>
  <c r="BS6" i="9"/>
  <c r="BU6" i="9"/>
  <c r="BW6" i="9"/>
  <c r="BY6" i="9"/>
  <c r="CA6" i="9"/>
  <c r="CC6" i="9"/>
  <c r="CE6" i="9"/>
  <c r="CG6" i="9"/>
  <c r="CI6" i="9"/>
  <c r="CK6" i="9"/>
  <c r="CM6" i="9"/>
  <c r="CO6" i="9"/>
  <c r="CQ6" i="9"/>
  <c r="CS6" i="9"/>
  <c r="CU6" i="9"/>
  <c r="CW6" i="9"/>
  <c r="CY6" i="9"/>
  <c r="E7" i="9"/>
  <c r="G7" i="9"/>
  <c r="I7" i="9"/>
  <c r="K7" i="9"/>
  <c r="M7" i="9"/>
  <c r="O7" i="9"/>
  <c r="Q7" i="9"/>
  <c r="S7" i="9"/>
  <c r="U7" i="9"/>
  <c r="W7" i="9"/>
  <c r="Y7" i="9"/>
  <c r="AA7" i="9"/>
  <c r="AC7" i="9"/>
  <c r="AE7" i="9"/>
  <c r="AG7" i="9"/>
  <c r="AI7" i="9"/>
  <c r="AK7" i="9"/>
  <c r="AM7" i="9"/>
  <c r="AO7" i="9"/>
  <c r="AQ7" i="9"/>
  <c r="AS7" i="9"/>
  <c r="AU7" i="9"/>
  <c r="AW7" i="9"/>
  <c r="AY7" i="9"/>
  <c r="BA7" i="9"/>
  <c r="BC7" i="9"/>
  <c r="BE7" i="9"/>
  <c r="BG7" i="9"/>
  <c r="BI7" i="9"/>
  <c r="BK7" i="9"/>
  <c r="BM7" i="9"/>
  <c r="BO7" i="9"/>
  <c r="BQ7" i="9"/>
  <c r="BS7" i="9"/>
  <c r="BU7" i="9"/>
  <c r="BW7" i="9"/>
  <c r="BY7" i="9"/>
  <c r="CA7" i="9"/>
  <c r="CC7" i="9"/>
  <c r="CE7" i="9"/>
  <c r="CG7" i="9"/>
  <c r="CI7" i="9"/>
  <c r="CK7" i="9"/>
  <c r="CM7" i="9"/>
  <c r="CO7" i="9"/>
  <c r="CQ7" i="9"/>
  <c r="CS7" i="9"/>
  <c r="CU7" i="9"/>
  <c r="CW7" i="9"/>
  <c r="CY7" i="9"/>
  <c r="E8" i="9"/>
  <c r="E9" i="9"/>
  <c r="G9" i="9"/>
  <c r="I9" i="9"/>
  <c r="K9" i="9"/>
  <c r="M9" i="9"/>
  <c r="O9" i="9"/>
  <c r="Q9" i="9"/>
  <c r="S9" i="9"/>
  <c r="U9" i="9"/>
  <c r="W9" i="9"/>
  <c r="Y9" i="9"/>
  <c r="AA9" i="9"/>
  <c r="AC9" i="9"/>
  <c r="AE9" i="9"/>
  <c r="AG9" i="9"/>
  <c r="AI9" i="9"/>
  <c r="AK9" i="9"/>
  <c r="AM9" i="9"/>
  <c r="AO9" i="9"/>
  <c r="AQ9" i="9"/>
  <c r="AS9" i="9"/>
  <c r="AU9" i="9"/>
  <c r="AW9" i="9"/>
  <c r="AY9" i="9"/>
  <c r="BA9" i="9"/>
  <c r="BC9" i="9"/>
  <c r="BE9" i="9"/>
  <c r="BG9" i="9"/>
  <c r="BI9" i="9"/>
  <c r="BK9" i="9"/>
  <c r="BM9" i="9"/>
  <c r="BO9" i="9"/>
  <c r="BQ9" i="9"/>
  <c r="BS9" i="9"/>
  <c r="BU9" i="9"/>
  <c r="BW9" i="9"/>
  <c r="BY9" i="9"/>
  <c r="CA9" i="9"/>
  <c r="CC9" i="9"/>
  <c r="CE9" i="9"/>
  <c r="CG9" i="9"/>
  <c r="CI9" i="9"/>
  <c r="CK9" i="9"/>
  <c r="CM9" i="9"/>
  <c r="CO9" i="9"/>
  <c r="CQ9" i="9"/>
  <c r="CS9" i="9"/>
  <c r="CU9" i="9"/>
  <c r="CW9" i="9"/>
  <c r="CY9" i="9"/>
  <c r="E10" i="9"/>
  <c r="E11" i="9"/>
  <c r="G11" i="9"/>
  <c r="I11" i="9"/>
  <c r="K11" i="9"/>
  <c r="M11" i="9"/>
  <c r="O11" i="9"/>
  <c r="Q11" i="9"/>
  <c r="S11" i="9"/>
  <c r="U11" i="9"/>
  <c r="W11" i="9"/>
  <c r="Y11" i="9"/>
  <c r="AA11" i="9"/>
  <c r="AC11" i="9"/>
  <c r="AE11" i="9"/>
  <c r="AG11" i="9"/>
  <c r="AI11" i="9"/>
  <c r="AK11" i="9"/>
  <c r="AM11" i="9"/>
  <c r="AO11" i="9"/>
  <c r="AQ11" i="9"/>
  <c r="AS11" i="9"/>
  <c r="AU11" i="9"/>
  <c r="AW11" i="9"/>
  <c r="AY11" i="9"/>
  <c r="BA11" i="9"/>
  <c r="BC11" i="9"/>
  <c r="BE11" i="9"/>
  <c r="BG11" i="9"/>
  <c r="BI11" i="9"/>
  <c r="BK11" i="9"/>
  <c r="BM11" i="9"/>
  <c r="BO11" i="9"/>
  <c r="BQ11" i="9"/>
  <c r="BS11" i="9"/>
  <c r="BU11" i="9"/>
  <c r="BW11" i="9"/>
  <c r="BY11" i="9"/>
  <c r="CA11" i="9"/>
  <c r="CC11" i="9"/>
  <c r="CE11" i="9"/>
  <c r="CG11" i="9"/>
  <c r="CI11" i="9"/>
  <c r="CK11" i="9"/>
  <c r="CM11" i="9"/>
  <c r="CO11" i="9"/>
  <c r="CQ11" i="9"/>
  <c r="CS11" i="9"/>
  <c r="CU11" i="9"/>
  <c r="CW11" i="9"/>
  <c r="CY11" i="9"/>
  <c r="E12" i="9"/>
  <c r="E13" i="9"/>
  <c r="G13" i="9"/>
  <c r="I13" i="9"/>
  <c r="K13" i="9"/>
  <c r="M13" i="9"/>
  <c r="O13" i="9"/>
  <c r="Q13" i="9"/>
  <c r="S13" i="9"/>
  <c r="U13" i="9"/>
  <c r="W13" i="9"/>
  <c r="Y13" i="9"/>
  <c r="AA13" i="9"/>
  <c r="AC13" i="9"/>
  <c r="AE13" i="9"/>
  <c r="AG13" i="9"/>
  <c r="AI13" i="9"/>
  <c r="AK13" i="9"/>
  <c r="AM13" i="9"/>
  <c r="AO13" i="9"/>
  <c r="AQ13" i="9"/>
  <c r="AS13" i="9"/>
  <c r="AU13" i="9"/>
  <c r="AW13" i="9"/>
  <c r="AY13" i="9"/>
  <c r="BA13" i="9"/>
  <c r="BC13" i="9"/>
  <c r="BE13" i="9"/>
  <c r="BG13" i="9"/>
  <c r="BI13" i="9"/>
  <c r="BK13" i="9"/>
  <c r="BM13" i="9"/>
  <c r="BO13" i="9"/>
  <c r="BQ13" i="9"/>
  <c r="BS13" i="9"/>
  <c r="BU13" i="9"/>
  <c r="BW13" i="9"/>
  <c r="BY13" i="9"/>
  <c r="CA13" i="9"/>
  <c r="CC13" i="9"/>
  <c r="CE13" i="9"/>
  <c r="CG13" i="9"/>
  <c r="CI13" i="9"/>
  <c r="CK13" i="9"/>
  <c r="CM13" i="9"/>
  <c r="CO13" i="9"/>
  <c r="CQ13" i="9"/>
  <c r="CS13" i="9"/>
  <c r="CU13" i="9"/>
  <c r="CW13" i="9"/>
  <c r="CY13" i="9"/>
  <c r="E14" i="9"/>
  <c r="G14" i="9"/>
  <c r="I14" i="9"/>
  <c r="K14" i="9"/>
  <c r="M14" i="9"/>
  <c r="O14" i="9"/>
  <c r="Q14" i="9"/>
  <c r="S14" i="9"/>
  <c r="U14" i="9"/>
  <c r="W14" i="9"/>
  <c r="Y14" i="9"/>
  <c r="AA14" i="9"/>
  <c r="AC14" i="9"/>
  <c r="AE14" i="9"/>
  <c r="AG14" i="9"/>
  <c r="AI14" i="9"/>
  <c r="AK14" i="9"/>
  <c r="AM14" i="9"/>
  <c r="AO14" i="9"/>
  <c r="AQ14" i="9"/>
  <c r="AS14" i="9"/>
  <c r="AU14" i="9"/>
  <c r="AW14" i="9"/>
  <c r="AY14" i="9"/>
  <c r="BA14" i="9"/>
  <c r="BC14" i="9"/>
  <c r="BE14" i="9"/>
  <c r="BG14" i="9"/>
  <c r="BI14" i="9"/>
  <c r="BK14" i="9"/>
  <c r="BM14" i="9"/>
  <c r="BO14" i="9"/>
  <c r="BQ14" i="9"/>
  <c r="BS14" i="9"/>
  <c r="BU14" i="9"/>
  <c r="BW14" i="9"/>
  <c r="BY14" i="9"/>
  <c r="CA14" i="9"/>
  <c r="CC14" i="9"/>
  <c r="CE14" i="9"/>
  <c r="CG14" i="9"/>
  <c r="CI14" i="9"/>
  <c r="CK14" i="9"/>
  <c r="CM14" i="9"/>
  <c r="CO14" i="9"/>
  <c r="CQ14" i="9"/>
  <c r="CS14" i="9"/>
  <c r="CU14" i="9"/>
  <c r="CW14" i="9"/>
  <c r="CY14" i="9"/>
  <c r="E15" i="9"/>
  <c r="G15" i="9"/>
  <c r="I15" i="9"/>
  <c r="K15" i="9"/>
  <c r="M15" i="9"/>
  <c r="O15" i="9"/>
  <c r="Q15" i="9"/>
  <c r="S15" i="9"/>
  <c r="U15" i="9"/>
  <c r="W15" i="9"/>
  <c r="Y15" i="9"/>
  <c r="AA15" i="9"/>
  <c r="AC15" i="9"/>
  <c r="AE15" i="9"/>
  <c r="AG15" i="9"/>
  <c r="AI15" i="9"/>
  <c r="AK15" i="9"/>
  <c r="AM15" i="9"/>
  <c r="AO15" i="9"/>
  <c r="AQ15" i="9"/>
  <c r="AS15" i="9"/>
  <c r="AU15" i="9"/>
  <c r="AW15" i="9"/>
  <c r="AY15" i="9"/>
  <c r="BA15" i="9"/>
  <c r="BC15" i="9"/>
  <c r="BE15" i="9"/>
  <c r="BG15" i="9"/>
  <c r="BI15" i="9"/>
  <c r="BK15" i="9"/>
  <c r="BM15" i="9"/>
  <c r="BO15" i="9"/>
  <c r="BQ15" i="9"/>
  <c r="BS15" i="9"/>
  <c r="BU15" i="9"/>
  <c r="BW15" i="9"/>
  <c r="BY15" i="9"/>
  <c r="CA15" i="9"/>
  <c r="CC15" i="9"/>
  <c r="CE15" i="9"/>
  <c r="CG15" i="9"/>
  <c r="CI15" i="9"/>
  <c r="CK15" i="9"/>
  <c r="CM15" i="9"/>
  <c r="CO15" i="9"/>
  <c r="CQ15" i="9"/>
  <c r="CS15" i="9"/>
  <c r="CU15" i="9"/>
  <c r="CW15" i="9"/>
  <c r="CY15" i="9"/>
  <c r="E16" i="9"/>
  <c r="E5" i="9"/>
  <c r="G5" i="9"/>
  <c r="I5" i="9"/>
  <c r="K5" i="9"/>
  <c r="M5" i="9"/>
  <c r="O5" i="9"/>
  <c r="Q5" i="9"/>
  <c r="S5" i="9"/>
  <c r="U5" i="9"/>
  <c r="W5" i="9"/>
  <c r="Y5" i="9"/>
  <c r="AA5" i="9"/>
  <c r="AC5" i="9"/>
  <c r="AE5" i="9"/>
  <c r="AG5" i="9"/>
  <c r="AI5" i="9"/>
  <c r="AK5" i="9"/>
  <c r="AM5" i="9"/>
  <c r="AO5" i="9"/>
  <c r="AQ5" i="9"/>
  <c r="AS5" i="9"/>
  <c r="AU5" i="9"/>
  <c r="AW5" i="9"/>
  <c r="AY5" i="9"/>
  <c r="BA5" i="9"/>
  <c r="BC5" i="9"/>
  <c r="BE5" i="9"/>
  <c r="BG5" i="9"/>
  <c r="BI5" i="9"/>
  <c r="BK5" i="9"/>
  <c r="BM5" i="9"/>
  <c r="BO5" i="9"/>
  <c r="BQ5" i="9"/>
  <c r="BS5" i="9"/>
  <c r="BU5" i="9"/>
  <c r="BW5" i="9"/>
  <c r="BY5" i="9"/>
  <c r="CA5" i="9"/>
  <c r="CC5" i="9"/>
  <c r="CE5" i="9"/>
  <c r="CG5" i="9"/>
  <c r="CI5" i="9"/>
  <c r="CK5" i="9"/>
  <c r="CM5" i="9"/>
  <c r="CO5" i="9"/>
  <c r="CQ5" i="9"/>
  <c r="CS5" i="9"/>
  <c r="CU5" i="9"/>
  <c r="CW5" i="9"/>
  <c r="CY5" i="9"/>
  <c r="E18" i="9"/>
  <c r="E17" i="9"/>
  <c r="G17" i="9"/>
  <c r="I17" i="9"/>
  <c r="K17" i="9"/>
  <c r="M17" i="9"/>
  <c r="O17" i="9"/>
  <c r="Q17" i="9"/>
  <c r="S17" i="9"/>
  <c r="U17" i="9"/>
  <c r="W17" i="9"/>
  <c r="Y17" i="9"/>
  <c r="AA17" i="9"/>
  <c r="AC17" i="9"/>
  <c r="AE17" i="9"/>
  <c r="AG17" i="9"/>
  <c r="AI17" i="9"/>
  <c r="AK17" i="9"/>
  <c r="AM17" i="9"/>
  <c r="AO17" i="9"/>
  <c r="AQ17" i="9"/>
  <c r="AS17" i="9"/>
  <c r="AU17" i="9"/>
  <c r="AW17" i="9"/>
  <c r="AY17" i="9"/>
  <c r="BA17" i="9"/>
  <c r="BC17" i="9"/>
  <c r="BE17" i="9"/>
  <c r="BG17" i="9"/>
  <c r="BI17" i="9"/>
  <c r="BK17" i="9"/>
  <c r="BM17" i="9"/>
  <c r="BO17" i="9"/>
  <c r="BQ17" i="9"/>
  <c r="BS17" i="9"/>
  <c r="BU17" i="9"/>
  <c r="BW17" i="9"/>
  <c r="BY17" i="9"/>
  <c r="CA17" i="9"/>
  <c r="CC17" i="9"/>
  <c r="CE17" i="9"/>
  <c r="CG17" i="9"/>
  <c r="CI17" i="9"/>
  <c r="CK17" i="9"/>
  <c r="CM17" i="9"/>
  <c r="CO17" i="9"/>
  <c r="CQ17" i="9"/>
  <c r="CS17" i="9"/>
  <c r="CU17" i="9"/>
  <c r="CW17" i="9"/>
  <c r="CY17" i="9"/>
  <c r="D16" i="2"/>
  <c r="E16" i="2"/>
  <c r="F16" i="2"/>
  <c r="G16" i="2"/>
  <c r="H16" i="2"/>
  <c r="I16" i="2"/>
  <c r="J16" i="2"/>
  <c r="K16" i="2"/>
  <c r="L16" i="2"/>
  <c r="M16" i="2"/>
  <c r="N16" i="2"/>
  <c r="O16" i="2"/>
  <c r="P16" i="2"/>
  <c r="Q16" i="2"/>
  <c r="R16" i="2"/>
  <c r="S16" i="2"/>
  <c r="T16" i="2"/>
  <c r="U16" i="2"/>
  <c r="V16" i="2"/>
  <c r="W16" i="2"/>
  <c r="D17" i="2"/>
  <c r="E17" i="2"/>
  <c r="F17" i="2"/>
  <c r="G17" i="2"/>
  <c r="H17" i="2"/>
  <c r="I17" i="2"/>
  <c r="J17" i="2"/>
  <c r="K17" i="2"/>
  <c r="L17" i="2"/>
  <c r="M17" i="2"/>
  <c r="N17" i="2"/>
  <c r="O17" i="2"/>
  <c r="P17" i="2"/>
  <c r="Q17" i="2"/>
  <c r="R17" i="2"/>
  <c r="S17" i="2"/>
  <c r="T17" i="2"/>
  <c r="U17" i="2"/>
  <c r="V17" i="2"/>
  <c r="W17" i="2"/>
  <c r="D18" i="2"/>
  <c r="E18" i="2"/>
  <c r="F18" i="2"/>
  <c r="G18" i="2"/>
  <c r="H18" i="2"/>
  <c r="I18" i="2"/>
  <c r="J18" i="2"/>
  <c r="K18" i="2"/>
  <c r="L18" i="2"/>
  <c r="M18" i="2"/>
  <c r="N18" i="2"/>
  <c r="O18" i="2"/>
  <c r="P18" i="2"/>
  <c r="Q18" i="2"/>
  <c r="R18" i="2"/>
  <c r="S18" i="2"/>
  <c r="T18" i="2"/>
  <c r="U18" i="2"/>
  <c r="V18" i="2"/>
  <c r="W18" i="2"/>
  <c r="G9" i="3"/>
  <c r="AK10" i="3"/>
  <c r="AK9" i="3"/>
  <c r="B9" i="14"/>
  <c r="B10" i="14"/>
  <c r="B11" i="14"/>
  <c r="B12" i="14"/>
  <c r="B13" i="14"/>
  <c r="B14" i="14"/>
  <c r="B15" i="14"/>
  <c r="B16" i="14"/>
  <c r="B17" i="14"/>
  <c r="B18" i="14"/>
  <c r="B19" i="14"/>
  <c r="B20" i="14"/>
  <c r="B21" i="14"/>
  <c r="B8" i="14"/>
  <c r="BN5" i="6"/>
  <c r="L5" i="6"/>
  <c r="L7" i="6"/>
  <c r="L10" i="6"/>
  <c r="R5" i="6"/>
  <c r="R7" i="6"/>
  <c r="R10" i="6"/>
  <c r="X5" i="6"/>
  <c r="X7" i="6"/>
  <c r="X10" i="6"/>
  <c r="AE5" i="6"/>
  <c r="AE7" i="6"/>
  <c r="AE10" i="6"/>
  <c r="AK5" i="6"/>
  <c r="AK7" i="6"/>
  <c r="AK10" i="6"/>
  <c r="AQ5" i="6"/>
  <c r="AQ7" i="6"/>
  <c r="AQ10" i="6"/>
  <c r="AW5" i="6"/>
  <c r="AW7" i="6"/>
  <c r="AW10" i="6"/>
  <c r="V20" i="8"/>
  <c r="V19" i="8"/>
  <c r="V18" i="8"/>
  <c r="V17" i="8"/>
  <c r="V16" i="8"/>
  <c r="V15" i="8"/>
  <c r="T20" i="8"/>
  <c r="T19" i="8"/>
  <c r="T18" i="8"/>
  <c r="T17" i="8"/>
  <c r="T16" i="8"/>
  <c r="T15" i="8"/>
  <c r="R20" i="8"/>
  <c r="R19" i="8"/>
  <c r="R18" i="8"/>
  <c r="R17" i="8"/>
  <c r="R16" i="8"/>
  <c r="R15" i="8"/>
  <c r="P20" i="8"/>
  <c r="P19" i="8"/>
  <c r="P18" i="8"/>
  <c r="P17" i="8"/>
  <c r="P16" i="8"/>
  <c r="P15" i="8"/>
  <c r="N20" i="8"/>
  <c r="N19" i="8"/>
  <c r="N18" i="8"/>
  <c r="N17" i="8"/>
  <c r="N16" i="8"/>
  <c r="N15" i="8"/>
  <c r="L20" i="8"/>
  <c r="L19" i="8"/>
  <c r="L18" i="8"/>
  <c r="L17" i="8"/>
  <c r="L16" i="8"/>
  <c r="L15" i="8"/>
  <c r="J20" i="8"/>
  <c r="J19" i="8"/>
  <c r="J18" i="8"/>
  <c r="J17" i="8"/>
  <c r="J16" i="8"/>
  <c r="J15" i="8"/>
  <c r="U14" i="8"/>
  <c r="U13" i="8"/>
  <c r="U12" i="8"/>
  <c r="U11" i="8"/>
  <c r="U10" i="8"/>
  <c r="U9" i="8"/>
  <c r="U8" i="8"/>
  <c r="U7" i="8"/>
  <c r="T14" i="8"/>
  <c r="T13" i="8"/>
  <c r="T12" i="8"/>
  <c r="T11" i="8"/>
  <c r="T10" i="8"/>
  <c r="T9" i="8"/>
  <c r="T8" i="8"/>
  <c r="T7" i="8"/>
  <c r="R14" i="8"/>
  <c r="R13" i="8"/>
  <c r="R12" i="8"/>
  <c r="R11" i="8"/>
  <c r="R10" i="8"/>
  <c r="R9" i="8"/>
  <c r="R8" i="8"/>
  <c r="R7" i="8"/>
  <c r="Q14" i="8"/>
  <c r="Q13" i="8"/>
  <c r="Q12" i="8"/>
  <c r="Q11" i="8"/>
  <c r="Q10" i="8"/>
  <c r="Q9" i="8"/>
  <c r="Q8" i="8"/>
  <c r="Q7" i="8"/>
  <c r="O14" i="8"/>
  <c r="O13" i="8"/>
  <c r="O12" i="8"/>
  <c r="O11" i="8"/>
  <c r="O10" i="8"/>
  <c r="O9" i="8"/>
  <c r="O8" i="8"/>
  <c r="O7" i="8"/>
  <c r="N14" i="8"/>
  <c r="N13" i="8"/>
  <c r="N12" i="8"/>
  <c r="N11" i="8"/>
  <c r="N10" i="8"/>
  <c r="N9" i="8"/>
  <c r="N8" i="8"/>
  <c r="N7" i="8"/>
  <c r="L14" i="8"/>
  <c r="L13" i="8"/>
  <c r="L12" i="8"/>
  <c r="L11" i="8"/>
  <c r="L10" i="8"/>
  <c r="K14" i="8"/>
  <c r="K13" i="8"/>
  <c r="K12" i="8"/>
  <c r="K11" i="8"/>
  <c r="K10" i="8"/>
  <c r="I13" i="8"/>
  <c r="I9" i="8"/>
  <c r="I8" i="8"/>
  <c r="I7" i="8"/>
  <c r="H7" i="8"/>
  <c r="M12" i="8"/>
  <c r="V12" i="8"/>
  <c r="S12" i="8"/>
  <c r="P12" i="8"/>
  <c r="P10" i="8"/>
  <c r="M9" i="8"/>
  <c r="V9" i="8"/>
  <c r="S9" i="8"/>
  <c r="P9" i="8"/>
  <c r="V7" i="8"/>
  <c r="S7" i="8"/>
  <c r="P7" i="8"/>
  <c r="M7" i="8"/>
  <c r="G7" i="8"/>
  <c r="AX7" i="6"/>
  <c r="BN7" i="6"/>
  <c r="AR7" i="6"/>
  <c r="AX6" i="6"/>
  <c r="BN8" i="6"/>
  <c r="BD6" i="6"/>
  <c r="M6" i="6"/>
  <c r="AX10" i="6"/>
  <c r="BN10" i="6"/>
  <c r="BN6" i="6"/>
  <c r="BJ6" i="6"/>
  <c r="Y7" i="6"/>
  <c r="Y5" i="6"/>
  <c r="Y6" i="6"/>
  <c r="Y10" i="6"/>
  <c r="BV10" i="6"/>
  <c r="BU10" i="6"/>
  <c r="BT10" i="6"/>
  <c r="BS10" i="6"/>
  <c r="BR10" i="6"/>
  <c r="BQ10" i="6"/>
  <c r="BP10" i="6"/>
  <c r="BO10" i="6"/>
  <c r="BM10" i="6"/>
  <c r="BL10" i="6"/>
  <c r="BK10" i="6"/>
  <c r="BJ10" i="6"/>
  <c r="BI10" i="6"/>
  <c r="BD10" i="6"/>
  <c r="BC10" i="6"/>
  <c r="AR10" i="6"/>
  <c r="AL10" i="6"/>
  <c r="AF10" i="6"/>
  <c r="S10" i="6"/>
  <c r="M10" i="6"/>
  <c r="BV7" i="6"/>
  <c r="BU7" i="6"/>
  <c r="BT7" i="6"/>
  <c r="BS7" i="6"/>
  <c r="BR7" i="6"/>
  <c r="BQ7" i="6"/>
  <c r="BP7" i="6"/>
  <c r="BO7" i="6"/>
  <c r="BM7" i="6"/>
  <c r="BL7" i="6"/>
  <c r="BK7" i="6"/>
  <c r="BJ7" i="6"/>
  <c r="BI7" i="6"/>
  <c r="BD7" i="6"/>
  <c r="BC7" i="6"/>
  <c r="AL7" i="6"/>
  <c r="AF7" i="6"/>
  <c r="S7" i="6"/>
  <c r="M7" i="6"/>
  <c r="BV5" i="6"/>
  <c r="BU5" i="6"/>
  <c r="BT5" i="6"/>
  <c r="BS5" i="6"/>
  <c r="BR5" i="6"/>
  <c r="BQ5" i="6"/>
  <c r="BP5" i="6"/>
  <c r="BO5" i="6"/>
  <c r="BM5" i="6"/>
  <c r="BL5" i="6"/>
  <c r="BK5" i="6"/>
  <c r="BJ5" i="6"/>
  <c r="BI5" i="6"/>
  <c r="BD5" i="6"/>
  <c r="BC5" i="6"/>
  <c r="AR5" i="6"/>
  <c r="AL5" i="6"/>
  <c r="AF5" i="6"/>
  <c r="S5" i="6"/>
  <c r="M5" i="6"/>
  <c r="AW10" i="12"/>
  <c r="AS10" i="12"/>
  <c r="AO10" i="12"/>
  <c r="AK10" i="12"/>
  <c r="AG10" i="12"/>
  <c r="AC10" i="12"/>
  <c r="Y10" i="12"/>
  <c r="U10" i="12"/>
  <c r="Q10" i="12"/>
  <c r="M10" i="12"/>
  <c r="I10" i="12"/>
  <c r="AW7" i="12"/>
  <c r="AS7" i="12"/>
  <c r="AO7" i="12"/>
  <c r="AK7" i="12"/>
  <c r="AG7" i="12"/>
  <c r="AC7" i="12"/>
  <c r="Y7" i="12"/>
  <c r="U7" i="12"/>
  <c r="Q7" i="12"/>
  <c r="M7" i="12"/>
  <c r="I7" i="12"/>
  <c r="AW5" i="12"/>
  <c r="AS5" i="12"/>
  <c r="AO5" i="12"/>
  <c r="AK5" i="12"/>
  <c r="AG5" i="12"/>
  <c r="AC5" i="12"/>
  <c r="Y5" i="12"/>
  <c r="U5" i="12"/>
  <c r="Q5" i="12"/>
  <c r="M5" i="12"/>
  <c r="I5" i="12"/>
  <c r="U10" i="13"/>
  <c r="S10" i="13"/>
  <c r="Q10" i="13"/>
  <c r="O10" i="13"/>
  <c r="M10" i="13"/>
  <c r="K10" i="13"/>
  <c r="I10" i="13"/>
  <c r="G10" i="13"/>
  <c r="E10" i="13"/>
  <c r="U7" i="13"/>
  <c r="S7" i="13"/>
  <c r="Q7" i="13"/>
  <c r="O7" i="13"/>
  <c r="M7" i="13"/>
  <c r="K7" i="13"/>
  <c r="I7" i="13"/>
  <c r="G7" i="13"/>
  <c r="E7" i="13"/>
  <c r="U5" i="13"/>
  <c r="S5" i="13"/>
  <c r="Q5" i="13"/>
  <c r="O5" i="13"/>
  <c r="M5" i="13"/>
  <c r="K5" i="13"/>
  <c r="I5" i="13"/>
  <c r="G5" i="13"/>
  <c r="E5" i="13"/>
  <c r="C10" i="7"/>
  <c r="E10" i="7"/>
  <c r="G10" i="7"/>
  <c r="I10" i="7"/>
  <c r="K10" i="7"/>
  <c r="M10" i="7"/>
  <c r="O10" i="7"/>
  <c r="Q10" i="7"/>
  <c r="S10" i="7"/>
  <c r="U10" i="7"/>
  <c r="W10" i="7"/>
  <c r="Y10" i="7"/>
  <c r="AA10" i="7"/>
  <c r="AC10" i="7"/>
  <c r="AE10" i="7"/>
  <c r="AG10" i="7"/>
  <c r="AI10" i="7"/>
  <c r="AK10" i="7"/>
  <c r="AM10" i="7"/>
  <c r="AO10" i="7"/>
  <c r="C7" i="7"/>
  <c r="E7" i="7"/>
  <c r="G7" i="7"/>
  <c r="I7" i="7"/>
  <c r="K7" i="7"/>
  <c r="M7" i="7"/>
  <c r="O7" i="7"/>
  <c r="Q7" i="7"/>
  <c r="S7" i="7"/>
  <c r="U7" i="7"/>
  <c r="W7" i="7"/>
  <c r="Y7" i="7"/>
  <c r="AA7" i="7"/>
  <c r="AC7" i="7"/>
  <c r="AE7" i="7"/>
  <c r="AG7" i="7"/>
  <c r="AI7" i="7"/>
  <c r="AK7" i="7"/>
  <c r="AM7" i="7"/>
  <c r="AO7" i="7"/>
  <c r="C5" i="7"/>
  <c r="E5" i="7"/>
  <c r="G5" i="7"/>
  <c r="I5" i="7"/>
  <c r="K5" i="7"/>
  <c r="M5" i="7"/>
  <c r="O5" i="7"/>
  <c r="Q5" i="7"/>
  <c r="S5" i="7"/>
  <c r="U5" i="7"/>
  <c r="W5" i="7"/>
  <c r="Y5" i="7"/>
  <c r="AA5" i="7"/>
  <c r="AC5" i="7"/>
  <c r="AE5" i="7"/>
  <c r="AG5" i="7"/>
  <c r="AI5" i="7"/>
  <c r="AK5" i="7"/>
  <c r="AM5" i="7"/>
  <c r="AO5" i="7"/>
  <c r="U10" i="4"/>
  <c r="T10" i="4"/>
  <c r="S10" i="4"/>
  <c r="R10" i="4"/>
  <c r="Q10" i="4"/>
  <c r="P10" i="4"/>
  <c r="O10" i="4"/>
  <c r="N10" i="4"/>
  <c r="M10" i="4"/>
  <c r="L10" i="4"/>
  <c r="K10" i="4"/>
  <c r="J10" i="4"/>
  <c r="I10" i="4"/>
  <c r="H10" i="4"/>
  <c r="G10" i="4"/>
  <c r="F10" i="4"/>
  <c r="E10" i="4"/>
  <c r="D10" i="4"/>
  <c r="C10" i="4"/>
  <c r="U7" i="4"/>
  <c r="T7" i="4"/>
  <c r="S7" i="4"/>
  <c r="R7" i="4"/>
  <c r="Q7" i="4"/>
  <c r="P7" i="4"/>
  <c r="O7" i="4"/>
  <c r="N7" i="4"/>
  <c r="M7" i="4"/>
  <c r="L7" i="4"/>
  <c r="K7" i="4"/>
  <c r="J7" i="4"/>
  <c r="I7" i="4"/>
  <c r="H7" i="4"/>
  <c r="G7" i="4"/>
  <c r="F7" i="4"/>
  <c r="E7" i="4"/>
  <c r="D7" i="4"/>
  <c r="C7" i="4"/>
  <c r="U5" i="4"/>
  <c r="T5" i="4"/>
  <c r="S5" i="4"/>
  <c r="R5" i="4"/>
  <c r="Q5" i="4"/>
  <c r="P5" i="4"/>
  <c r="O5" i="4"/>
  <c r="N5" i="4"/>
  <c r="M5" i="4"/>
  <c r="L5" i="4"/>
  <c r="K5" i="4"/>
  <c r="J5" i="4"/>
  <c r="I5" i="4"/>
  <c r="H5" i="4"/>
  <c r="G5" i="4"/>
  <c r="F5" i="4"/>
  <c r="E5" i="4"/>
  <c r="D5" i="4"/>
  <c r="C5" i="4"/>
  <c r="AO10" i="3"/>
  <c r="AM10" i="3"/>
  <c r="AI10" i="3"/>
  <c r="AG10" i="3"/>
  <c r="AE10" i="3"/>
  <c r="AC10" i="3"/>
  <c r="AA10" i="3"/>
  <c r="Y10" i="3"/>
  <c r="W10" i="3"/>
  <c r="U10" i="3"/>
  <c r="S10" i="3"/>
  <c r="Q10" i="3"/>
  <c r="O10" i="3"/>
  <c r="M10" i="3"/>
  <c r="K10" i="3"/>
  <c r="I10" i="3"/>
  <c r="G10" i="3"/>
  <c r="E10" i="3"/>
  <c r="C10" i="3"/>
  <c r="AO7" i="3"/>
  <c r="AM7" i="3"/>
  <c r="AK7" i="3"/>
  <c r="AI7" i="3"/>
  <c r="AG7" i="3"/>
  <c r="AE7" i="3"/>
  <c r="AC7" i="3"/>
  <c r="AA7" i="3"/>
  <c r="Y7" i="3"/>
  <c r="W7" i="3"/>
  <c r="U7" i="3"/>
  <c r="S7" i="3"/>
  <c r="Q7" i="3"/>
  <c r="O7" i="3"/>
  <c r="M7" i="3"/>
  <c r="K7" i="3"/>
  <c r="I7" i="3"/>
  <c r="G7" i="3"/>
  <c r="E7" i="3"/>
  <c r="C7" i="3"/>
  <c r="AO5" i="3"/>
  <c r="AM5" i="3"/>
  <c r="AK5" i="3"/>
  <c r="AI5" i="3"/>
  <c r="AG5" i="3"/>
  <c r="AE5" i="3"/>
  <c r="AC5" i="3"/>
  <c r="AA5" i="3"/>
  <c r="Y5" i="3"/>
  <c r="W5" i="3"/>
  <c r="U5" i="3"/>
  <c r="S5" i="3"/>
  <c r="Q5" i="3"/>
  <c r="O5" i="3"/>
  <c r="M5" i="3"/>
  <c r="K5" i="3"/>
  <c r="I5" i="3"/>
  <c r="G5" i="3"/>
  <c r="E5" i="3"/>
  <c r="C5" i="3"/>
  <c r="W10" i="2"/>
  <c r="V10" i="2"/>
  <c r="U10" i="2"/>
  <c r="T10" i="2"/>
  <c r="S10" i="2"/>
  <c r="R10" i="2"/>
  <c r="Q10" i="2"/>
  <c r="P10" i="2"/>
  <c r="O10" i="2"/>
  <c r="N10" i="2"/>
  <c r="M10" i="2"/>
  <c r="L10" i="2"/>
  <c r="K10" i="2"/>
  <c r="J10" i="2"/>
  <c r="I10" i="2"/>
  <c r="H10" i="2"/>
  <c r="G10" i="2"/>
  <c r="F10" i="2"/>
  <c r="E10" i="2"/>
  <c r="D10" i="2"/>
  <c r="D21" i="2"/>
  <c r="E21" i="2"/>
  <c r="F21" i="2"/>
  <c r="G21" i="2"/>
  <c r="H21" i="2"/>
  <c r="I21" i="2"/>
  <c r="J21" i="2"/>
  <c r="K21" i="2"/>
  <c r="L21" i="2"/>
  <c r="M21" i="2"/>
  <c r="N21" i="2"/>
  <c r="O21" i="2"/>
  <c r="P21" i="2"/>
  <c r="Q21" i="2"/>
  <c r="R21" i="2"/>
  <c r="S21" i="2"/>
  <c r="T21" i="2"/>
  <c r="U21" i="2"/>
  <c r="V21" i="2"/>
  <c r="W21" i="2"/>
  <c r="E7" i="2"/>
  <c r="J7" i="2"/>
  <c r="W7" i="2"/>
  <c r="V7" i="2"/>
  <c r="U7" i="2"/>
  <c r="T7" i="2"/>
  <c r="S7" i="2"/>
  <c r="R7" i="2"/>
  <c r="Q7" i="2"/>
  <c r="P7" i="2"/>
  <c r="O7" i="2"/>
  <c r="N7" i="2"/>
  <c r="M7" i="2"/>
  <c r="L7" i="2"/>
  <c r="K7" i="2"/>
  <c r="I7" i="2"/>
  <c r="H7" i="2"/>
  <c r="G7" i="2"/>
  <c r="F7" i="2"/>
  <c r="D7" i="2"/>
  <c r="D20" i="2"/>
  <c r="E20" i="2"/>
  <c r="F20" i="2"/>
  <c r="G20" i="2"/>
  <c r="H20" i="2"/>
  <c r="I20" i="2"/>
  <c r="J20" i="2"/>
  <c r="K20" i="2"/>
  <c r="L20" i="2"/>
  <c r="M20" i="2"/>
  <c r="N20" i="2"/>
  <c r="O20" i="2"/>
  <c r="P20" i="2"/>
  <c r="Q20" i="2"/>
  <c r="R20" i="2"/>
  <c r="S20" i="2"/>
  <c r="T20" i="2"/>
  <c r="U20" i="2"/>
  <c r="V20" i="2"/>
  <c r="W20" i="2"/>
  <c r="W5" i="2"/>
  <c r="V5" i="2"/>
  <c r="U5" i="2"/>
  <c r="T5" i="2"/>
  <c r="S5" i="2"/>
  <c r="R5" i="2"/>
  <c r="Q5" i="2"/>
  <c r="P5" i="2"/>
  <c r="O5" i="2"/>
  <c r="N5" i="2"/>
  <c r="M5" i="2"/>
  <c r="L5" i="2"/>
  <c r="K5" i="2"/>
  <c r="J5" i="2"/>
  <c r="I5" i="2"/>
  <c r="H5" i="2"/>
  <c r="G5" i="2"/>
  <c r="F5" i="2"/>
  <c r="E5" i="2"/>
  <c r="D5" i="2"/>
  <c r="D19" i="2"/>
  <c r="E19" i="2"/>
  <c r="F19" i="2"/>
  <c r="G19" i="2"/>
  <c r="H19" i="2"/>
  <c r="I19" i="2"/>
  <c r="J19" i="2"/>
  <c r="K19" i="2"/>
  <c r="L19" i="2"/>
  <c r="M19" i="2"/>
  <c r="N19" i="2"/>
  <c r="O19" i="2"/>
  <c r="P19" i="2"/>
  <c r="Q19" i="2"/>
  <c r="R19" i="2"/>
  <c r="S19" i="2"/>
  <c r="T19" i="2"/>
  <c r="U19" i="2"/>
  <c r="V19" i="2"/>
  <c r="W19" i="2"/>
  <c r="H10" i="1"/>
  <c r="J10" i="1"/>
  <c r="L10" i="1"/>
  <c r="N10" i="1"/>
  <c r="P10" i="1"/>
  <c r="R10" i="1"/>
  <c r="T10" i="1"/>
  <c r="V10" i="1"/>
  <c r="X10" i="1"/>
  <c r="Z10" i="1"/>
  <c r="AB10" i="1"/>
  <c r="AD10" i="1"/>
  <c r="AF10" i="1"/>
  <c r="AH10" i="1"/>
  <c r="AJ10" i="1"/>
  <c r="AL10" i="1"/>
  <c r="AN10" i="1"/>
  <c r="AP10" i="1"/>
  <c r="AR10" i="1"/>
  <c r="AT10" i="1"/>
  <c r="AV10" i="1"/>
  <c r="AX10" i="1"/>
  <c r="AZ10" i="1"/>
  <c r="BB10" i="1"/>
  <c r="BD10" i="1"/>
  <c r="BF10" i="1"/>
  <c r="BH10" i="1"/>
  <c r="BJ10" i="1"/>
  <c r="BL10" i="1"/>
  <c r="BN10" i="1"/>
  <c r="BP10" i="1"/>
  <c r="BR10" i="1"/>
  <c r="BT10" i="1"/>
  <c r="BV10" i="1"/>
  <c r="BX10" i="1"/>
  <c r="BZ10" i="1"/>
  <c r="CB10" i="1"/>
  <c r="CD10" i="1"/>
  <c r="CF10" i="1"/>
  <c r="CH10" i="1"/>
  <c r="CJ10" i="1"/>
  <c r="CL10" i="1"/>
  <c r="CN10" i="1"/>
  <c r="CP10" i="1"/>
  <c r="CR10" i="1"/>
  <c r="CT10" i="1"/>
  <c r="Y12" i="6"/>
  <c r="M12" i="6"/>
  <c r="C6" i="7"/>
  <c r="E6" i="7"/>
  <c r="G6" i="7"/>
  <c r="I6" i="7"/>
  <c r="C18" i="4"/>
  <c r="D18" i="4"/>
  <c r="E18" i="4"/>
  <c r="F18" i="4"/>
  <c r="G18" i="4"/>
  <c r="H18" i="4"/>
  <c r="I18" i="4"/>
  <c r="J18" i="4"/>
  <c r="K18" i="4"/>
  <c r="L18" i="4"/>
  <c r="M18" i="4"/>
  <c r="N18" i="4"/>
  <c r="O18" i="4"/>
  <c r="P18" i="4"/>
  <c r="Q18" i="4"/>
  <c r="R18" i="4"/>
  <c r="S18" i="4"/>
  <c r="T18" i="4"/>
  <c r="U18" i="4"/>
  <c r="AM18" i="3"/>
  <c r="AM17" i="3"/>
  <c r="AM16" i="3"/>
  <c r="AM15" i="3"/>
  <c r="AM14" i="3"/>
  <c r="AM13" i="3"/>
  <c r="AK17" i="3"/>
  <c r="C8" i="11"/>
  <c r="C7" i="11"/>
  <c r="G18" i="9"/>
  <c r="I18" i="9"/>
  <c r="K18" i="9"/>
  <c r="M18" i="9"/>
  <c r="O18" i="9"/>
  <c r="Q18" i="9"/>
  <c r="S18" i="9"/>
  <c r="U18" i="9"/>
  <c r="W18" i="9"/>
  <c r="Y18" i="9"/>
  <c r="AA18" i="9"/>
  <c r="AC18" i="9"/>
  <c r="AE18" i="9"/>
  <c r="AG18" i="9"/>
  <c r="AI18" i="9"/>
  <c r="AK18" i="9"/>
  <c r="AM18" i="9"/>
  <c r="AO18" i="9"/>
  <c r="AQ18" i="9"/>
  <c r="AS18" i="9"/>
  <c r="AU18" i="9"/>
  <c r="AW18" i="9"/>
  <c r="AY18" i="9"/>
  <c r="BA18" i="9"/>
  <c r="BC18" i="9"/>
  <c r="BE18" i="9"/>
  <c r="BG18" i="9"/>
  <c r="BI18" i="9"/>
  <c r="BK18" i="9"/>
  <c r="BM18" i="9"/>
  <c r="BO18" i="9"/>
  <c r="BQ18" i="9"/>
  <c r="BS18" i="9"/>
  <c r="BU18" i="9"/>
  <c r="BW18" i="9"/>
  <c r="BY18" i="9"/>
  <c r="CA18" i="9"/>
  <c r="CC18" i="9"/>
  <c r="CE18" i="9"/>
  <c r="CG18" i="9"/>
  <c r="CI18" i="9"/>
  <c r="CK18" i="9"/>
  <c r="CM18" i="9" s="1"/>
  <c r="CO18" i="9" s="1"/>
  <c r="CQ18" i="9" s="1"/>
  <c r="CS18" i="9" s="1"/>
  <c r="CU18" i="9" s="1"/>
  <c r="CW18" i="9" s="1"/>
  <c r="CY18" i="9" s="1"/>
  <c r="G10" i="9"/>
  <c r="I10" i="9"/>
  <c r="K10" i="9"/>
  <c r="M10" i="9"/>
  <c r="O10" i="9"/>
  <c r="Q10" i="9"/>
  <c r="S10" i="9"/>
  <c r="U10" i="9"/>
  <c r="W10" i="9"/>
  <c r="Y10" i="9"/>
  <c r="AA10" i="9"/>
  <c r="AC10" i="9"/>
  <c r="AE10" i="9"/>
  <c r="AG10" i="9"/>
  <c r="AI10" i="9"/>
  <c r="AK10" i="9"/>
  <c r="AM10" i="9"/>
  <c r="AO10" i="9"/>
  <c r="AQ10" i="9"/>
  <c r="AS10" i="9"/>
  <c r="AU10" i="9"/>
  <c r="AW10" i="9"/>
  <c r="AY10" i="9"/>
  <c r="BA10" i="9"/>
  <c r="BC10" i="9"/>
  <c r="BE10" i="9"/>
  <c r="BG10" i="9"/>
  <c r="BI10" i="9"/>
  <c r="BK10" i="9"/>
  <c r="BM10" i="9"/>
  <c r="BO10" i="9"/>
  <c r="BQ10" i="9"/>
  <c r="BS10" i="9"/>
  <c r="BU10" i="9"/>
  <c r="BW10" i="9"/>
  <c r="BY10" i="9"/>
  <c r="CA10" i="9"/>
  <c r="CC10" i="9"/>
  <c r="CE10" i="9"/>
  <c r="CG10" i="9"/>
  <c r="CI10" i="9"/>
  <c r="CK10" i="9"/>
  <c r="CM10" i="9"/>
  <c r="CO10" i="9"/>
  <c r="CQ10" i="9"/>
  <c r="CS10" i="9"/>
  <c r="CU10" i="9"/>
  <c r="CW10" i="9"/>
  <c r="CY10" i="9"/>
  <c r="G16" i="9"/>
  <c r="I16" i="9"/>
  <c r="K16" i="9"/>
  <c r="M16" i="9"/>
  <c r="O16" i="9"/>
  <c r="Q16" i="9"/>
  <c r="S16" i="9"/>
  <c r="U16" i="9"/>
  <c r="W16" i="9"/>
  <c r="Y16" i="9"/>
  <c r="AA16" i="9"/>
  <c r="AC16" i="9"/>
  <c r="AE16" i="9"/>
  <c r="AG16" i="9"/>
  <c r="AI16" i="9"/>
  <c r="AK16" i="9"/>
  <c r="AM16" i="9"/>
  <c r="AO16" i="9"/>
  <c r="AQ16" i="9"/>
  <c r="AS16" i="9"/>
  <c r="AU16" i="9"/>
  <c r="AW16" i="9"/>
  <c r="AY16" i="9"/>
  <c r="BA16" i="9"/>
  <c r="BC16" i="9"/>
  <c r="BE16" i="9"/>
  <c r="BG16" i="9"/>
  <c r="BI16" i="9"/>
  <c r="BK16" i="9"/>
  <c r="BM16" i="9"/>
  <c r="BO16" i="9"/>
  <c r="BQ16" i="9"/>
  <c r="BS16" i="9"/>
  <c r="BU16" i="9"/>
  <c r="BW16" i="9"/>
  <c r="BY16" i="9"/>
  <c r="CA16" i="9"/>
  <c r="CC16" i="9"/>
  <c r="CE16" i="9"/>
  <c r="CG16" i="9"/>
  <c r="CI16" i="9"/>
  <c r="CK16" i="9"/>
  <c r="CM16" i="9"/>
  <c r="CO16" i="9"/>
  <c r="CQ16" i="9"/>
  <c r="CS16" i="9"/>
  <c r="CU16" i="9" s="1"/>
  <c r="CW16" i="9" s="1"/>
  <c r="CY16" i="9" s="1"/>
  <c r="G8" i="9"/>
  <c r="I8" i="9"/>
  <c r="K8" i="9"/>
  <c r="M8" i="9"/>
  <c r="O8" i="9"/>
  <c r="Q8" i="9"/>
  <c r="S8" i="9"/>
  <c r="U8" i="9"/>
  <c r="W8" i="9"/>
  <c r="Y8" i="9"/>
  <c r="AA8" i="9"/>
  <c r="AC8" i="9"/>
  <c r="AE8" i="9"/>
  <c r="AG8" i="9"/>
  <c r="AI8" i="9"/>
  <c r="AK8" i="9"/>
  <c r="AM8" i="9"/>
  <c r="AO8" i="9"/>
  <c r="AQ8" i="9"/>
  <c r="AS8" i="9"/>
  <c r="AU8" i="9"/>
  <c r="AW8" i="9"/>
  <c r="AY8" i="9"/>
  <c r="BA8" i="9"/>
  <c r="BC8" i="9"/>
  <c r="BE8" i="9"/>
  <c r="BG8" i="9"/>
  <c r="BI8" i="9"/>
  <c r="BK8" i="9"/>
  <c r="BM8" i="9"/>
  <c r="BO8" i="9"/>
  <c r="BQ8" i="9"/>
  <c r="BS8" i="9"/>
  <c r="BU8" i="9"/>
  <c r="BW8" i="9"/>
  <c r="BY8" i="9"/>
  <c r="CA8" i="9"/>
  <c r="CC8" i="9"/>
  <c r="CE8" i="9"/>
  <c r="CG8" i="9"/>
  <c r="CI8" i="9"/>
  <c r="CK8" i="9"/>
  <c r="CM8" i="9"/>
  <c r="CO8" i="9"/>
  <c r="CQ8" i="9"/>
  <c r="CS8" i="9"/>
  <c r="CU8" i="9"/>
  <c r="CW8" i="9"/>
  <c r="CY8" i="9"/>
  <c r="G12" i="9"/>
  <c r="I12" i="9"/>
  <c r="K12" i="9"/>
  <c r="M12" i="9"/>
  <c r="O12" i="9"/>
  <c r="Q12" i="9"/>
  <c r="S12" i="9"/>
  <c r="U12" i="9"/>
  <c r="W12" i="9"/>
  <c r="Y12" i="9"/>
  <c r="AA12" i="9"/>
  <c r="AC12" i="9"/>
  <c r="AE12" i="9"/>
  <c r="AG12" i="9"/>
  <c r="AI12" i="9"/>
  <c r="AK12" i="9"/>
  <c r="AM12" i="9"/>
  <c r="AO12" i="9"/>
  <c r="AQ12" i="9"/>
  <c r="AS12" i="9"/>
  <c r="AU12" i="9"/>
  <c r="AW12" i="9"/>
  <c r="AY12" i="9"/>
  <c r="BA12" i="9"/>
  <c r="BC12" i="9"/>
  <c r="BE12" i="9"/>
  <c r="BG12" i="9"/>
  <c r="BI12" i="9"/>
  <c r="BK12" i="9"/>
  <c r="BM12" i="9"/>
  <c r="BO12" i="9"/>
  <c r="BQ12" i="9"/>
  <c r="BS12" i="9"/>
  <c r="BU12" i="9"/>
  <c r="BW12" i="9"/>
  <c r="BY12" i="9"/>
  <c r="CA12" i="9"/>
  <c r="CC12" i="9"/>
  <c r="CE12" i="9"/>
  <c r="CG12" i="9"/>
  <c r="CI12" i="9"/>
  <c r="CK12" i="9"/>
  <c r="CM12" i="9"/>
  <c r="CO12" i="9"/>
  <c r="CQ12" i="9"/>
  <c r="CS12" i="9"/>
  <c r="CU12" i="9"/>
  <c r="CW12" i="9"/>
  <c r="CY12" i="9"/>
  <c r="H14" i="1"/>
  <c r="J14" i="1"/>
  <c r="L14" i="1"/>
  <c r="N14" i="1"/>
  <c r="P14" i="1"/>
  <c r="R14" i="1"/>
  <c r="P7" i="1"/>
  <c r="R7" i="1"/>
  <c r="BU14" i="6"/>
  <c r="BU15" i="6"/>
  <c r="BU16" i="6"/>
  <c r="BU17" i="6"/>
  <c r="BU18" i="6"/>
  <c r="BU13" i="6"/>
  <c r="BS14" i="6"/>
  <c r="BS15" i="6"/>
  <c r="BS16" i="6"/>
  <c r="BS17" i="6"/>
  <c r="BS18" i="6"/>
  <c r="BS13" i="6"/>
  <c r="BQ14" i="6"/>
  <c r="BQ15" i="6"/>
  <c r="BQ16" i="6"/>
  <c r="BQ17" i="6"/>
  <c r="BQ18" i="6"/>
  <c r="BQ13" i="6"/>
  <c r="BO14" i="6"/>
  <c r="BO15" i="6"/>
  <c r="BO16" i="6"/>
  <c r="BO17" i="6"/>
  <c r="BO18" i="6"/>
  <c r="BO13" i="6"/>
  <c r="BN14" i="6"/>
  <c r="BN15" i="6"/>
  <c r="BN16" i="6"/>
  <c r="BN17" i="6"/>
  <c r="BN18" i="6"/>
  <c r="BN13" i="6"/>
  <c r="BM14" i="6"/>
  <c r="BM15" i="6"/>
  <c r="BM16" i="6"/>
  <c r="BM17" i="6"/>
  <c r="BM18" i="6"/>
  <c r="BM13" i="6"/>
  <c r="BK14" i="6"/>
  <c r="BK15" i="6"/>
  <c r="BK16" i="6"/>
  <c r="BK17" i="6"/>
  <c r="BK18" i="6"/>
  <c r="BK13" i="6"/>
  <c r="BI14" i="6"/>
  <c r="BI15" i="6"/>
  <c r="BI16" i="6"/>
  <c r="BI17" i="6"/>
  <c r="BI18" i="6"/>
  <c r="BI13" i="6"/>
  <c r="BC14" i="6"/>
  <c r="BC15" i="6"/>
  <c r="BC16" i="6"/>
  <c r="BC17" i="6"/>
  <c r="BC18" i="6"/>
  <c r="BC13" i="6"/>
  <c r="AX14" i="6"/>
  <c r="AX15" i="6"/>
  <c r="AX16" i="6"/>
  <c r="AX17" i="6"/>
  <c r="AX18" i="6"/>
  <c r="AX13" i="6"/>
  <c r="AW14" i="6"/>
  <c r="AW15" i="6"/>
  <c r="AW16" i="6"/>
  <c r="AW17" i="6"/>
  <c r="AW18" i="6"/>
  <c r="AW13" i="6"/>
  <c r="AQ14" i="6"/>
  <c r="AQ15" i="6"/>
  <c r="AQ16" i="6"/>
  <c r="AQ17" i="6"/>
  <c r="AQ18" i="6"/>
  <c r="AQ13" i="6"/>
  <c r="AK14" i="6"/>
  <c r="AK15" i="6"/>
  <c r="AK16" i="6"/>
  <c r="AK17" i="6"/>
  <c r="AK18" i="6"/>
  <c r="AK13" i="6"/>
  <c r="AE14" i="6"/>
  <c r="AE15" i="6"/>
  <c r="AE16" i="6"/>
  <c r="AE17" i="6"/>
  <c r="AE18" i="6"/>
  <c r="AE13" i="6"/>
  <c r="Y14" i="6"/>
  <c r="AJ14" i="6"/>
  <c r="AV14" i="6"/>
  <c r="BH14" i="6"/>
  <c r="Y15" i="6"/>
  <c r="Y16" i="6"/>
  <c r="Y17" i="6"/>
  <c r="Y18" i="6"/>
  <c r="Y13" i="6"/>
  <c r="X14" i="6"/>
  <c r="X15" i="6"/>
  <c r="X16" i="6"/>
  <c r="X17" i="6"/>
  <c r="X18" i="6"/>
  <c r="X13" i="6"/>
  <c r="R14" i="6"/>
  <c r="R15" i="6"/>
  <c r="R16" i="6"/>
  <c r="R17" i="6"/>
  <c r="R18" i="6"/>
  <c r="R13" i="6"/>
  <c r="L14" i="6"/>
  <c r="L15" i="6"/>
  <c r="L16" i="6"/>
  <c r="L17" i="6"/>
  <c r="L18" i="6"/>
  <c r="L13" i="6"/>
  <c r="G16" i="8"/>
  <c r="BV6" i="6"/>
  <c r="BV8" i="6"/>
  <c r="BV9" i="6"/>
  <c r="BV11" i="6"/>
  <c r="BV12" i="6"/>
  <c r="BV13" i="6"/>
  <c r="BV14" i="6"/>
  <c r="BV15" i="6"/>
  <c r="BV16" i="6"/>
  <c r="BV17" i="6"/>
  <c r="BV18" i="6"/>
  <c r="BT6" i="6"/>
  <c r="BT8" i="6"/>
  <c r="BT9" i="6"/>
  <c r="BT11" i="6"/>
  <c r="BT12" i="6"/>
  <c r="BT13" i="6"/>
  <c r="BT14" i="6"/>
  <c r="BT15" i="6"/>
  <c r="BT16" i="6"/>
  <c r="BT17" i="6"/>
  <c r="BT18" i="6"/>
  <c r="BR6" i="6"/>
  <c r="BR8" i="6"/>
  <c r="BR9" i="6"/>
  <c r="BR11" i="6"/>
  <c r="BR12" i="6"/>
  <c r="BR13" i="6"/>
  <c r="BR14" i="6"/>
  <c r="BR15" i="6"/>
  <c r="BR16" i="6"/>
  <c r="BR17" i="6"/>
  <c r="BR18" i="6"/>
  <c r="BP6" i="6"/>
  <c r="BP8" i="6"/>
  <c r="BP9" i="6"/>
  <c r="BP11" i="6"/>
  <c r="BP12" i="6"/>
  <c r="BP13" i="6"/>
  <c r="BP14" i="6"/>
  <c r="BP15" i="6"/>
  <c r="BP16" i="6"/>
  <c r="BP17" i="6"/>
  <c r="BP18" i="6"/>
  <c r="BN9" i="6"/>
  <c r="BN11" i="6"/>
  <c r="BN12" i="6"/>
  <c r="BL6" i="6"/>
  <c r="BL8" i="6"/>
  <c r="BL9" i="6"/>
  <c r="BL11" i="6"/>
  <c r="BL12" i="6"/>
  <c r="BL13" i="6"/>
  <c r="BL14" i="6"/>
  <c r="BL15" i="6"/>
  <c r="BL16" i="6"/>
  <c r="BL17" i="6"/>
  <c r="BL18" i="6"/>
  <c r="BJ8" i="6"/>
  <c r="BJ9" i="6"/>
  <c r="BJ11" i="6"/>
  <c r="BJ12" i="6"/>
  <c r="BJ13" i="6"/>
  <c r="BJ14" i="6"/>
  <c r="BJ15" i="6"/>
  <c r="BJ16" i="6"/>
  <c r="BJ17" i="6"/>
  <c r="BJ18" i="6"/>
  <c r="BD8" i="6"/>
  <c r="BD9" i="6"/>
  <c r="BD11" i="6"/>
  <c r="BD12" i="6"/>
  <c r="BD13" i="6"/>
  <c r="BD14" i="6"/>
  <c r="BD15" i="6"/>
  <c r="BD16" i="6"/>
  <c r="BD17" i="6"/>
  <c r="BD18" i="6"/>
  <c r="AX8" i="6"/>
  <c r="AX9" i="6"/>
  <c r="AX11" i="6"/>
  <c r="AX12" i="6"/>
  <c r="AR6" i="6"/>
  <c r="AR8" i="6"/>
  <c r="AR9" i="6"/>
  <c r="AR11" i="6"/>
  <c r="AR12" i="6"/>
  <c r="AR13" i="6"/>
  <c r="AR14" i="6"/>
  <c r="AR15" i="6"/>
  <c r="AR16" i="6"/>
  <c r="AR17" i="6"/>
  <c r="AR18" i="6"/>
  <c r="AL6" i="6"/>
  <c r="AL8" i="6"/>
  <c r="AL9" i="6"/>
  <c r="AL11" i="6"/>
  <c r="AL12" i="6"/>
  <c r="AL13" i="6"/>
  <c r="AL14" i="6"/>
  <c r="AL15" i="6"/>
  <c r="AL16" i="6"/>
  <c r="AL17" i="6"/>
  <c r="AL18" i="6"/>
  <c r="AF6" i="6"/>
  <c r="AF8" i="6"/>
  <c r="AF9" i="6"/>
  <c r="AF11" i="6"/>
  <c r="AF12" i="6"/>
  <c r="AF13" i="6"/>
  <c r="AF14" i="6"/>
  <c r="AF15" i="6"/>
  <c r="AF16" i="6"/>
  <c r="AF17" i="6"/>
  <c r="AF18" i="6"/>
  <c r="Y8" i="6"/>
  <c r="AD8" i="6"/>
  <c r="AJ8" i="6"/>
  <c r="AP8" i="6"/>
  <c r="AV8" i="6"/>
  <c r="BB8" i="6"/>
  <c r="BH8" i="6"/>
  <c r="Y9" i="6"/>
  <c r="Y11" i="6"/>
  <c r="S6" i="6"/>
  <c r="S8" i="6"/>
  <c r="S9" i="6"/>
  <c r="S11" i="6"/>
  <c r="S12" i="6"/>
  <c r="S13" i="6"/>
  <c r="S14" i="6"/>
  <c r="AD14" i="6"/>
  <c r="AP14" i="6"/>
  <c r="BB14" i="6"/>
  <c r="S15" i="6"/>
  <c r="S16" i="6"/>
  <c r="S17" i="6"/>
  <c r="S18" i="6"/>
  <c r="M8" i="6"/>
  <c r="M9" i="6"/>
  <c r="M11" i="6"/>
  <c r="N6" i="6"/>
  <c r="O6" i="6"/>
  <c r="P6" i="6"/>
  <c r="Q6" i="6"/>
  <c r="T6" i="6"/>
  <c r="U6" i="6"/>
  <c r="V6" i="6"/>
  <c r="W6" i="6"/>
  <c r="Z6" i="6"/>
  <c r="AA6" i="6"/>
  <c r="AB6" i="6"/>
  <c r="AC6" i="6"/>
  <c r="AD6" i="6"/>
  <c r="AG6" i="6"/>
  <c r="AH6" i="6"/>
  <c r="AI6" i="6"/>
  <c r="AJ6" i="6"/>
  <c r="AM6" i="6"/>
  <c r="AN6" i="6"/>
  <c r="AO6" i="6"/>
  <c r="AP6" i="6"/>
  <c r="AS6" i="6"/>
  <c r="AT6" i="6"/>
  <c r="AU6" i="6"/>
  <c r="AV6" i="6"/>
  <c r="AY6" i="6"/>
  <c r="AZ6" i="6"/>
  <c r="BA6" i="6"/>
  <c r="BB6" i="6"/>
  <c r="BE6" i="6"/>
  <c r="BF6" i="6"/>
  <c r="BG6" i="6"/>
  <c r="BH6" i="6"/>
  <c r="T14" i="6"/>
  <c r="U14" i="6"/>
  <c r="AG14" i="6"/>
  <c r="AS14" i="6"/>
  <c r="BE14" i="6"/>
  <c r="V14" i="6"/>
  <c r="AH14" i="6"/>
  <c r="AT14" i="6"/>
  <c r="BF14" i="6"/>
  <c r="W14" i="6"/>
  <c r="AI14" i="6"/>
  <c r="AU14" i="6"/>
  <c r="BG14" i="6"/>
  <c r="N14" i="6"/>
  <c r="Z14" i="6"/>
  <c r="O14" i="6"/>
  <c r="AA14" i="6"/>
  <c r="AM14" i="6"/>
  <c r="AY14" i="6"/>
  <c r="P14" i="6"/>
  <c r="AB14" i="6"/>
  <c r="AN14" i="6"/>
  <c r="AZ14" i="6"/>
  <c r="Q14" i="6"/>
  <c r="AC14" i="6"/>
  <c r="AO14" i="6"/>
  <c r="BA14" i="6"/>
  <c r="AZ14" i="5"/>
  <c r="AZ15" i="5"/>
  <c r="AZ16" i="5"/>
  <c r="AZ17" i="5"/>
  <c r="AZ13" i="5"/>
  <c r="AI17" i="5"/>
  <c r="AI15" i="5"/>
  <c r="AI13" i="5"/>
  <c r="AW6" i="12"/>
  <c r="AW8" i="12"/>
  <c r="AW9" i="12"/>
  <c r="AW11" i="12"/>
  <c r="AW12" i="12"/>
  <c r="AW13" i="12"/>
  <c r="AW14" i="12"/>
  <c r="AW15" i="12"/>
  <c r="AW16" i="12"/>
  <c r="AW17" i="12"/>
  <c r="AW18" i="12"/>
  <c r="AS6" i="12"/>
  <c r="AS8" i="12"/>
  <c r="AS9" i="12"/>
  <c r="AS11" i="12"/>
  <c r="AS12" i="12"/>
  <c r="AS13" i="12"/>
  <c r="AS14" i="12"/>
  <c r="AS15" i="12"/>
  <c r="AS16" i="12"/>
  <c r="AS17" i="12"/>
  <c r="AS18" i="12"/>
  <c r="AO6" i="12"/>
  <c r="AO8" i="12"/>
  <c r="AO9" i="12"/>
  <c r="AO11" i="12"/>
  <c r="AO12" i="12"/>
  <c r="AO13" i="12"/>
  <c r="AO14" i="12"/>
  <c r="AO15" i="12"/>
  <c r="AO16" i="12"/>
  <c r="AO17" i="12"/>
  <c r="AO18" i="12"/>
  <c r="AK6" i="12"/>
  <c r="AK8" i="12"/>
  <c r="AK9" i="12"/>
  <c r="AK11" i="12"/>
  <c r="AK12" i="12"/>
  <c r="AK13" i="12"/>
  <c r="AK14" i="12"/>
  <c r="AK15" i="12"/>
  <c r="AK16" i="12"/>
  <c r="AK17" i="12"/>
  <c r="AK18" i="12"/>
  <c r="AG6" i="12"/>
  <c r="AG8" i="12"/>
  <c r="AG9" i="12"/>
  <c r="AG11" i="12"/>
  <c r="AG12" i="12"/>
  <c r="AG13" i="12"/>
  <c r="AG14" i="12"/>
  <c r="AG15" i="12"/>
  <c r="AG16" i="12"/>
  <c r="AG17" i="12"/>
  <c r="AG18" i="12"/>
  <c r="AC6" i="12"/>
  <c r="AC8" i="12"/>
  <c r="AC9" i="12"/>
  <c r="AC11" i="12"/>
  <c r="AC12" i="12"/>
  <c r="AC13" i="12"/>
  <c r="AC14" i="12"/>
  <c r="AC15" i="12"/>
  <c r="AC16" i="12"/>
  <c r="AC17" i="12"/>
  <c r="AC18" i="12"/>
  <c r="Y6" i="12"/>
  <c r="Y8" i="12"/>
  <c r="Y9" i="12"/>
  <c r="Y11" i="12"/>
  <c r="Y12" i="12"/>
  <c r="Y13" i="12"/>
  <c r="Y14" i="12"/>
  <c r="Y15" i="12"/>
  <c r="Y16" i="12"/>
  <c r="Y17" i="12"/>
  <c r="Y18" i="12"/>
  <c r="U6" i="12"/>
  <c r="U8" i="12"/>
  <c r="U9" i="12"/>
  <c r="U11" i="12"/>
  <c r="U12" i="12"/>
  <c r="U13" i="12"/>
  <c r="U14" i="12"/>
  <c r="U15" i="12"/>
  <c r="U16" i="12"/>
  <c r="U17" i="12"/>
  <c r="U18" i="12"/>
  <c r="Q6" i="12"/>
  <c r="Q8" i="12"/>
  <c r="Q9" i="12"/>
  <c r="Q11" i="12"/>
  <c r="Q12" i="12"/>
  <c r="Q13" i="12"/>
  <c r="Q14" i="12"/>
  <c r="Q15" i="12"/>
  <c r="Q16" i="12"/>
  <c r="Q17" i="12"/>
  <c r="Q18" i="12"/>
  <c r="M13" i="12"/>
  <c r="M14" i="12"/>
  <c r="M15" i="12"/>
  <c r="M16" i="12"/>
  <c r="M17" i="12"/>
  <c r="M18" i="12"/>
  <c r="M12" i="12"/>
  <c r="M11" i="12"/>
  <c r="M9" i="12"/>
  <c r="M8" i="12"/>
  <c r="M6" i="12"/>
  <c r="I6" i="12"/>
  <c r="I8" i="12"/>
  <c r="I9" i="12"/>
  <c r="I11" i="12"/>
  <c r="I12" i="12"/>
  <c r="I13" i="12"/>
  <c r="I14" i="12"/>
  <c r="I15" i="12"/>
  <c r="I16" i="12"/>
  <c r="I17" i="12"/>
  <c r="I18" i="12"/>
  <c r="N13" i="6"/>
  <c r="T13" i="6"/>
  <c r="Z13" i="6"/>
  <c r="O13" i="6"/>
  <c r="U13" i="6"/>
  <c r="AA13" i="6"/>
  <c r="AG13" i="6"/>
  <c r="AM13" i="6"/>
  <c r="AS13" i="6"/>
  <c r="AY13" i="6"/>
  <c r="BE13" i="6"/>
  <c r="P13" i="6"/>
  <c r="V13" i="6"/>
  <c r="AB13" i="6"/>
  <c r="AH13" i="6"/>
  <c r="AN13" i="6"/>
  <c r="AT13" i="6"/>
  <c r="AZ13" i="6"/>
  <c r="BF13" i="6"/>
  <c r="Q13" i="6"/>
  <c r="W13" i="6"/>
  <c r="AC13" i="6"/>
  <c r="AI13" i="6"/>
  <c r="AO13" i="6"/>
  <c r="AU13" i="6"/>
  <c r="BA13" i="6"/>
  <c r="BG13" i="6"/>
  <c r="N12" i="6"/>
  <c r="T12" i="6"/>
  <c r="Z12" i="6"/>
  <c r="O12" i="6"/>
  <c r="U12" i="6"/>
  <c r="AA12" i="6"/>
  <c r="AG12" i="6"/>
  <c r="AM12" i="6"/>
  <c r="AS12" i="6"/>
  <c r="AY12" i="6"/>
  <c r="BE12" i="6"/>
  <c r="P12" i="6"/>
  <c r="V12" i="6"/>
  <c r="AB12" i="6"/>
  <c r="AH12" i="6"/>
  <c r="AN12" i="6"/>
  <c r="AT12" i="6"/>
  <c r="AZ12" i="6"/>
  <c r="BF12" i="6"/>
  <c r="Q12" i="6"/>
  <c r="W12" i="6"/>
  <c r="AC12" i="6"/>
  <c r="AI12" i="6"/>
  <c r="AO12" i="6"/>
  <c r="AU12" i="6"/>
  <c r="BA12" i="6"/>
  <c r="BG12" i="6"/>
  <c r="N11" i="6"/>
  <c r="T11" i="6"/>
  <c r="Z11" i="6"/>
  <c r="O11" i="6"/>
  <c r="U11" i="6"/>
  <c r="AA11" i="6"/>
  <c r="AG11" i="6"/>
  <c r="AM11" i="6"/>
  <c r="AS11" i="6"/>
  <c r="AY11" i="6"/>
  <c r="BE11" i="6"/>
  <c r="P11" i="6"/>
  <c r="V11" i="6"/>
  <c r="AB11" i="6"/>
  <c r="AH11" i="6"/>
  <c r="AN11" i="6"/>
  <c r="AT11" i="6"/>
  <c r="AZ11" i="6"/>
  <c r="BF11" i="6"/>
  <c r="Q11" i="6"/>
  <c r="W11" i="6"/>
  <c r="AC11" i="6"/>
  <c r="AI11" i="6"/>
  <c r="AO11" i="6"/>
  <c r="AU11" i="6"/>
  <c r="BA11" i="6"/>
  <c r="BG11" i="6"/>
  <c r="N9" i="6"/>
  <c r="T9" i="6"/>
  <c r="Z9" i="6"/>
  <c r="O9" i="6"/>
  <c r="U9" i="6"/>
  <c r="AA9" i="6"/>
  <c r="AG9" i="6"/>
  <c r="AM9" i="6"/>
  <c r="AS9" i="6"/>
  <c r="AY9" i="6"/>
  <c r="BE9" i="6"/>
  <c r="P9" i="6"/>
  <c r="V9" i="6"/>
  <c r="AB9" i="6"/>
  <c r="AH9" i="6"/>
  <c r="AN9" i="6"/>
  <c r="AT9" i="6"/>
  <c r="AZ9" i="6"/>
  <c r="BF9" i="6"/>
  <c r="Q9" i="6"/>
  <c r="W9" i="6"/>
  <c r="AC9" i="6"/>
  <c r="AI9" i="6"/>
  <c r="AO9" i="6"/>
  <c r="AU9" i="6"/>
  <c r="BA9" i="6"/>
  <c r="BG9" i="6"/>
  <c r="N8" i="6"/>
  <c r="T8" i="6"/>
  <c r="Z8" i="6"/>
  <c r="O8" i="6"/>
  <c r="U8" i="6"/>
  <c r="AA8" i="6"/>
  <c r="AG8" i="6"/>
  <c r="AM8" i="6"/>
  <c r="AS8" i="6"/>
  <c r="AY8" i="6"/>
  <c r="BE8" i="6"/>
  <c r="P8" i="6"/>
  <c r="V8" i="6"/>
  <c r="AB8" i="6"/>
  <c r="AH8" i="6"/>
  <c r="AN8" i="6"/>
  <c r="AT8" i="6"/>
  <c r="AZ8" i="6"/>
  <c r="BF8" i="6"/>
  <c r="Q8" i="6"/>
  <c r="W8" i="6"/>
  <c r="AC8" i="6"/>
  <c r="AI8" i="6"/>
  <c r="AO8" i="6"/>
  <c r="AU8" i="6"/>
  <c r="BA8" i="6"/>
  <c r="BG8" i="6"/>
  <c r="F21" i="14"/>
  <c r="AO13" i="3"/>
  <c r="AO14" i="3"/>
  <c r="AO15" i="3"/>
  <c r="AO16" i="3"/>
  <c r="AO17" i="3"/>
  <c r="AO18" i="3"/>
  <c r="AK13" i="3"/>
  <c r="AK14" i="3"/>
  <c r="AK15" i="3"/>
  <c r="AK16" i="3"/>
  <c r="AK18" i="3"/>
  <c r="AI13" i="3"/>
  <c r="AI14" i="3"/>
  <c r="AI15" i="3"/>
  <c r="AI16" i="3"/>
  <c r="AI17" i="3"/>
  <c r="AI18" i="3"/>
  <c r="AG13" i="3"/>
  <c r="AG14" i="3"/>
  <c r="AG15" i="3"/>
  <c r="AG16" i="3"/>
  <c r="AG17" i="3"/>
  <c r="AG18" i="3"/>
  <c r="AE13" i="3"/>
  <c r="AE14" i="3"/>
  <c r="AE15" i="3"/>
  <c r="AE16" i="3"/>
  <c r="AE17" i="3"/>
  <c r="AE18" i="3"/>
  <c r="AC13" i="3"/>
  <c r="AC14" i="3"/>
  <c r="AC15" i="3"/>
  <c r="AC16" i="3"/>
  <c r="AC17" i="3"/>
  <c r="AC18" i="3"/>
  <c r="AA13" i="3"/>
  <c r="AA14" i="3"/>
  <c r="AA15" i="3"/>
  <c r="AA16" i="3"/>
  <c r="AA17" i="3"/>
  <c r="AA18" i="3"/>
  <c r="Y13" i="3"/>
  <c r="Y14" i="3"/>
  <c r="Y15" i="3"/>
  <c r="Y16" i="3"/>
  <c r="Y17" i="3"/>
  <c r="Y18" i="3"/>
  <c r="W13" i="3"/>
  <c r="W14" i="3"/>
  <c r="W15" i="3"/>
  <c r="W16" i="3"/>
  <c r="W17" i="3"/>
  <c r="W18" i="3"/>
  <c r="U13" i="3"/>
  <c r="C13" i="3"/>
  <c r="E16" i="14"/>
  <c r="U14" i="3"/>
  <c r="U15" i="3"/>
  <c r="U16" i="3"/>
  <c r="U17" i="3"/>
  <c r="U18" i="3"/>
  <c r="S13" i="3"/>
  <c r="S14" i="3"/>
  <c r="S15" i="3"/>
  <c r="S16" i="3"/>
  <c r="S17" i="3"/>
  <c r="S18" i="3"/>
  <c r="Q13" i="3"/>
  <c r="Q14" i="3"/>
  <c r="Q15" i="3"/>
  <c r="Q16" i="3"/>
  <c r="Q17" i="3"/>
  <c r="Q18" i="3"/>
  <c r="O13" i="3"/>
  <c r="O14" i="3"/>
  <c r="O15" i="3"/>
  <c r="O16" i="3"/>
  <c r="O17" i="3"/>
  <c r="O18" i="3"/>
  <c r="M13" i="3"/>
  <c r="M14" i="3"/>
  <c r="M15" i="3"/>
  <c r="M16" i="3"/>
  <c r="M17" i="3"/>
  <c r="M18" i="3"/>
  <c r="K6" i="3"/>
  <c r="K8" i="3"/>
  <c r="K9" i="3"/>
  <c r="K11" i="3"/>
  <c r="K12" i="3"/>
  <c r="K13" i="3"/>
  <c r="K14" i="3"/>
  <c r="K15" i="3"/>
  <c r="K16" i="3"/>
  <c r="K17" i="3"/>
  <c r="K18" i="3"/>
  <c r="I6" i="3"/>
  <c r="I8" i="3"/>
  <c r="I9" i="3"/>
  <c r="I11" i="3"/>
  <c r="I12" i="3"/>
  <c r="I13" i="3"/>
  <c r="I14" i="3"/>
  <c r="I15" i="3"/>
  <c r="I16" i="3"/>
  <c r="I17" i="3"/>
  <c r="I18" i="3"/>
  <c r="G6" i="3"/>
  <c r="G8" i="3"/>
  <c r="G11" i="3"/>
  <c r="G12" i="3"/>
  <c r="G13" i="3"/>
  <c r="G14" i="3"/>
  <c r="G15" i="3"/>
  <c r="G16" i="3"/>
  <c r="G17" i="3"/>
  <c r="G18" i="3"/>
  <c r="E6" i="3"/>
  <c r="E8" i="3"/>
  <c r="E9" i="3"/>
  <c r="E11" i="3"/>
  <c r="E12" i="3"/>
  <c r="E13" i="3"/>
  <c r="E14" i="3"/>
  <c r="E15" i="3"/>
  <c r="E16" i="3"/>
  <c r="E17" i="3"/>
  <c r="E18" i="3"/>
  <c r="C6" i="3"/>
  <c r="C8" i="3"/>
  <c r="C9" i="3"/>
  <c r="C11" i="3"/>
  <c r="C12" i="3"/>
  <c r="C14" i="3"/>
  <c r="C15" i="3"/>
  <c r="C16" i="3"/>
  <c r="C17" i="3"/>
  <c r="C18" i="3"/>
  <c r="D8" i="14"/>
  <c r="D19" i="14"/>
  <c r="C9" i="14"/>
  <c r="C10" i="14"/>
  <c r="C11" i="14"/>
  <c r="C12" i="14"/>
  <c r="C13" i="14"/>
  <c r="C14" i="14"/>
  <c r="C15" i="14"/>
  <c r="C16" i="14"/>
  <c r="C17" i="14"/>
  <c r="C18" i="14"/>
  <c r="C19" i="14"/>
  <c r="C20" i="14"/>
  <c r="C21" i="14"/>
  <c r="C8" i="14"/>
  <c r="U20" i="8"/>
  <c r="S20" i="8"/>
  <c r="Q20" i="8"/>
  <c r="O20" i="8"/>
  <c r="M20" i="8"/>
  <c r="K20" i="8"/>
  <c r="I20" i="8"/>
  <c r="G20" i="8"/>
  <c r="F20" i="8"/>
  <c r="E20" i="8"/>
  <c r="U17" i="8"/>
  <c r="S17" i="8"/>
  <c r="Q17" i="8"/>
  <c r="O17" i="8"/>
  <c r="M17" i="8"/>
  <c r="K17" i="8"/>
  <c r="I17" i="8"/>
  <c r="G17" i="8"/>
  <c r="F17" i="8"/>
  <c r="E17" i="8"/>
  <c r="U16" i="8"/>
  <c r="S16" i="8"/>
  <c r="Q16" i="8"/>
  <c r="O16" i="8"/>
  <c r="M16" i="8"/>
  <c r="K16" i="8"/>
  <c r="I16" i="8"/>
  <c r="F16" i="8"/>
  <c r="E16" i="8"/>
  <c r="D14" i="2"/>
  <c r="E14" i="2"/>
  <c r="F14" i="2"/>
  <c r="G14" i="2"/>
  <c r="H14" i="2"/>
  <c r="I14" i="2"/>
  <c r="J14" i="2"/>
  <c r="K14" i="2"/>
  <c r="L14" i="2"/>
  <c r="M14" i="2"/>
  <c r="N14" i="2"/>
  <c r="O14" i="2"/>
  <c r="P14" i="2"/>
  <c r="Q14" i="2"/>
  <c r="R14" i="2"/>
  <c r="S14" i="2"/>
  <c r="T14" i="2"/>
  <c r="U14" i="2"/>
  <c r="V14" i="2"/>
  <c r="W14" i="2"/>
  <c r="F19" i="8"/>
  <c r="F18" i="8"/>
  <c r="F15" i="8"/>
  <c r="E21" i="14"/>
  <c r="T14" i="1"/>
  <c r="V14" i="1"/>
  <c r="X14" i="1"/>
  <c r="Z14" i="1"/>
  <c r="AB14" i="1"/>
  <c r="AD14" i="1"/>
  <c r="AF14" i="1"/>
  <c r="AH14" i="1"/>
  <c r="AJ14" i="1"/>
  <c r="AL14" i="1"/>
  <c r="AN14" i="1"/>
  <c r="AP14" i="1"/>
  <c r="AR14" i="1"/>
  <c r="AT14" i="1"/>
  <c r="AV14" i="1"/>
  <c r="AX14" i="1"/>
  <c r="AZ14" i="1"/>
  <c r="BB14" i="1"/>
  <c r="BD14" i="1"/>
  <c r="BF14" i="1"/>
  <c r="BH14" i="1"/>
  <c r="BJ14" i="1"/>
  <c r="BL14" i="1"/>
  <c r="BN14" i="1"/>
  <c r="BP14" i="1"/>
  <c r="BR14" i="1"/>
  <c r="BT14" i="1"/>
  <c r="BV14" i="1"/>
  <c r="BX14" i="1"/>
  <c r="BZ14" i="1"/>
  <c r="CB14" i="1"/>
  <c r="CD14" i="1"/>
  <c r="CF14" i="1"/>
  <c r="CH14" i="1"/>
  <c r="CJ14" i="1"/>
  <c r="CL14" i="1"/>
  <c r="CN14" i="1"/>
  <c r="CP14" i="1"/>
  <c r="CR14" i="1"/>
  <c r="CT14" i="1"/>
  <c r="T7" i="1"/>
  <c r="V7" i="1"/>
  <c r="X7" i="1"/>
  <c r="Z7" i="1"/>
  <c r="AB7" i="1"/>
  <c r="AD7" i="1"/>
  <c r="AF7" i="1"/>
  <c r="AH7" i="1"/>
  <c r="AJ7" i="1"/>
  <c r="AL7" i="1"/>
  <c r="AN7" i="1"/>
  <c r="AP7" i="1"/>
  <c r="AR7" i="1"/>
  <c r="AT7" i="1"/>
  <c r="AV7" i="1"/>
  <c r="AX7" i="1"/>
  <c r="AZ7" i="1"/>
  <c r="BB7" i="1"/>
  <c r="BD7" i="1"/>
  <c r="BF7" i="1"/>
  <c r="BH7" i="1"/>
  <c r="BJ7" i="1"/>
  <c r="BL7" i="1"/>
  <c r="BN7" i="1"/>
  <c r="BP7" i="1"/>
  <c r="BR7" i="1"/>
  <c r="BT7" i="1"/>
  <c r="BV7" i="1"/>
  <c r="BX7" i="1"/>
  <c r="BZ7" i="1"/>
  <c r="CB7" i="1"/>
  <c r="CD7" i="1"/>
  <c r="CF7" i="1"/>
  <c r="CH7" i="1"/>
  <c r="CJ7" i="1"/>
  <c r="CL7" i="1"/>
  <c r="CN7" i="1"/>
  <c r="CP7" i="1"/>
  <c r="CR7" i="1"/>
  <c r="CT7" i="1"/>
  <c r="E20" i="14"/>
  <c r="E17" i="14"/>
  <c r="E19" i="14"/>
  <c r="E18" i="14"/>
  <c r="H17" i="1"/>
  <c r="J17" i="1"/>
  <c r="L17" i="1"/>
  <c r="N17" i="1"/>
  <c r="P17" i="1"/>
  <c r="R17" i="1"/>
  <c r="D21" i="14"/>
  <c r="D17" i="14"/>
  <c r="H12" i="1"/>
  <c r="H11" i="1"/>
  <c r="H9" i="1"/>
  <c r="H8" i="1"/>
  <c r="H18" i="1"/>
  <c r="H15" i="1"/>
  <c r="H13" i="1"/>
  <c r="J13" i="1"/>
  <c r="AD12" i="6"/>
  <c r="AJ12" i="6"/>
  <c r="AP12" i="6"/>
  <c r="AV12" i="6"/>
  <c r="BB12" i="6"/>
  <c r="BH12" i="6"/>
  <c r="AD11" i="6"/>
  <c r="AJ11" i="6"/>
  <c r="AP11" i="6"/>
  <c r="AV11" i="6"/>
  <c r="BB11" i="6"/>
  <c r="BH11" i="6"/>
  <c r="AD9" i="6"/>
  <c r="AJ9" i="6"/>
  <c r="AP9" i="6"/>
  <c r="AV9" i="6"/>
  <c r="BB9" i="6"/>
  <c r="BH9" i="6"/>
  <c r="AD13" i="6"/>
  <c r="AJ13" i="6"/>
  <c r="AP13" i="6"/>
  <c r="AV13" i="6"/>
  <c r="BB13" i="6"/>
  <c r="BH13" i="6"/>
  <c r="T17" i="1"/>
  <c r="V17" i="1"/>
  <c r="X17" i="1"/>
  <c r="Z17" i="1"/>
  <c r="AB17" i="1"/>
  <c r="AD17" i="1"/>
  <c r="AF17" i="1"/>
  <c r="AH17" i="1"/>
  <c r="AJ17" i="1"/>
  <c r="AL17" i="1"/>
  <c r="AN17" i="1"/>
  <c r="AP17" i="1"/>
  <c r="AR17" i="1"/>
  <c r="AT17" i="1"/>
  <c r="AV17" i="1"/>
  <c r="AX17" i="1"/>
  <c r="AZ17" i="1"/>
  <c r="BB17" i="1"/>
  <c r="BD17" i="1"/>
  <c r="BF17" i="1"/>
  <c r="BH17" i="1"/>
  <c r="BJ17" i="1"/>
  <c r="BL17" i="1"/>
  <c r="BN17" i="1"/>
  <c r="BP17" i="1"/>
  <c r="BR17" i="1"/>
  <c r="BT17" i="1"/>
  <c r="BV17" i="1"/>
  <c r="BX17" i="1"/>
  <c r="BZ17" i="1"/>
  <c r="CB17" i="1"/>
  <c r="CD17" i="1"/>
  <c r="CF17" i="1"/>
  <c r="CH17" i="1"/>
  <c r="CJ17" i="1"/>
  <c r="CL17" i="1"/>
  <c r="CN17" i="1"/>
  <c r="CP17" i="1"/>
  <c r="CR17" i="1"/>
  <c r="CT17" i="1"/>
  <c r="J9" i="1"/>
  <c r="J11" i="1"/>
  <c r="J18" i="1"/>
  <c r="J12" i="1"/>
  <c r="H6" i="1"/>
  <c r="J8" i="1"/>
  <c r="J15" i="1"/>
  <c r="L15" i="1"/>
  <c r="Q14" i="10"/>
  <c r="U6" i="13"/>
  <c r="U12" i="13"/>
  <c r="U8" i="13"/>
  <c r="U11" i="13"/>
  <c r="U13" i="13"/>
  <c r="U14" i="13"/>
  <c r="U15" i="13"/>
  <c r="U16" i="13"/>
  <c r="U17" i="13"/>
  <c r="U18" i="13"/>
  <c r="U9" i="13"/>
  <c r="S6" i="13"/>
  <c r="S12" i="13"/>
  <c r="S8" i="13"/>
  <c r="S11" i="13"/>
  <c r="S13" i="13"/>
  <c r="S14" i="13"/>
  <c r="S15" i="13"/>
  <c r="S16" i="13"/>
  <c r="S17" i="13"/>
  <c r="S18" i="13"/>
  <c r="S9" i="13"/>
  <c r="Q6" i="13"/>
  <c r="Q12" i="13"/>
  <c r="Q8" i="13"/>
  <c r="Q11" i="13"/>
  <c r="Q13" i="13"/>
  <c r="Q14" i="13"/>
  <c r="Q15" i="13"/>
  <c r="Q16" i="13"/>
  <c r="Q17" i="13"/>
  <c r="Q18" i="13"/>
  <c r="Q9" i="13"/>
  <c r="O6" i="13"/>
  <c r="O12" i="13"/>
  <c r="O8" i="13"/>
  <c r="O11" i="13"/>
  <c r="O13" i="13"/>
  <c r="O14" i="13"/>
  <c r="O15" i="13"/>
  <c r="O16" i="13"/>
  <c r="O17" i="13"/>
  <c r="O18" i="13"/>
  <c r="O9" i="13"/>
  <c r="M6" i="13"/>
  <c r="M12" i="13"/>
  <c r="M8" i="13"/>
  <c r="M11" i="13"/>
  <c r="M13" i="13"/>
  <c r="M14" i="13"/>
  <c r="M15" i="13"/>
  <c r="M16" i="13"/>
  <c r="M17" i="13"/>
  <c r="M18" i="13"/>
  <c r="M9" i="13"/>
  <c r="K6" i="13"/>
  <c r="K12" i="13"/>
  <c r="K8" i="13"/>
  <c r="K11" i="13"/>
  <c r="K13" i="13"/>
  <c r="K14" i="13"/>
  <c r="K15" i="13"/>
  <c r="K16" i="13"/>
  <c r="K17" i="13"/>
  <c r="K18" i="13"/>
  <c r="K9" i="13"/>
  <c r="I6" i="13"/>
  <c r="I12" i="13"/>
  <c r="I8" i="13"/>
  <c r="I11" i="13"/>
  <c r="I13" i="13"/>
  <c r="I14" i="13"/>
  <c r="I15" i="13"/>
  <c r="I16" i="13"/>
  <c r="I17" i="13"/>
  <c r="I18" i="13"/>
  <c r="I9" i="13"/>
  <c r="G6" i="13"/>
  <c r="G12" i="13"/>
  <c r="G8" i="13"/>
  <c r="G11" i="13"/>
  <c r="G13" i="13"/>
  <c r="G14" i="13"/>
  <c r="G15" i="13"/>
  <c r="G16" i="13"/>
  <c r="G17" i="13"/>
  <c r="G18" i="13"/>
  <c r="G9" i="13"/>
  <c r="E6" i="13"/>
  <c r="E12" i="13"/>
  <c r="E8" i="13"/>
  <c r="E11" i="13"/>
  <c r="E13" i="13"/>
  <c r="E14" i="13"/>
  <c r="E15" i="13"/>
  <c r="E16" i="13"/>
  <c r="E17" i="13"/>
  <c r="E18" i="13"/>
  <c r="E9" i="13"/>
  <c r="U19" i="8"/>
  <c r="S19" i="8"/>
  <c r="Q19" i="8"/>
  <c r="O19" i="8"/>
  <c r="M19" i="8"/>
  <c r="K19" i="8"/>
  <c r="I19" i="8"/>
  <c r="G19" i="8"/>
  <c r="E19" i="8"/>
  <c r="U18" i="8"/>
  <c r="S18" i="8"/>
  <c r="Q18" i="8"/>
  <c r="O18" i="8"/>
  <c r="M18" i="8"/>
  <c r="K18" i="8"/>
  <c r="I18" i="8"/>
  <c r="G18" i="8"/>
  <c r="E18" i="8"/>
  <c r="U15" i="8"/>
  <c r="S15" i="8"/>
  <c r="Q15" i="8"/>
  <c r="O15" i="8"/>
  <c r="M15" i="8"/>
  <c r="K15" i="8"/>
  <c r="I15" i="8"/>
  <c r="G15" i="8"/>
  <c r="E15" i="8"/>
  <c r="M13" i="8"/>
  <c r="P13" i="8"/>
  <c r="S13" i="8"/>
  <c r="V13" i="8"/>
  <c r="M10" i="8"/>
  <c r="S10" i="8"/>
  <c r="V10" i="8"/>
  <c r="M14" i="8"/>
  <c r="P14" i="8"/>
  <c r="S14" i="8"/>
  <c r="V14" i="8"/>
  <c r="V8" i="8"/>
  <c r="S8" i="8"/>
  <c r="P8" i="8"/>
  <c r="M8" i="8"/>
  <c r="V11" i="8"/>
  <c r="S11" i="8"/>
  <c r="P11" i="8"/>
  <c r="M11" i="8"/>
  <c r="C18" i="7"/>
  <c r="E18" i="7"/>
  <c r="G18" i="7"/>
  <c r="I18" i="7"/>
  <c r="K18" i="7"/>
  <c r="M18" i="7"/>
  <c r="O18" i="7"/>
  <c r="Q18" i="7"/>
  <c r="S18" i="7"/>
  <c r="U18" i="7"/>
  <c r="C17" i="7"/>
  <c r="E17" i="7"/>
  <c r="G17" i="7"/>
  <c r="I17" i="7"/>
  <c r="K17" i="7"/>
  <c r="M17" i="7"/>
  <c r="O17" i="7"/>
  <c r="Q17" i="7"/>
  <c r="S17" i="7"/>
  <c r="U17" i="7"/>
  <c r="C16" i="7"/>
  <c r="E16" i="7"/>
  <c r="G16" i="7"/>
  <c r="I16" i="7"/>
  <c r="K16" i="7"/>
  <c r="M16" i="7"/>
  <c r="O16" i="7"/>
  <c r="Q16" i="7"/>
  <c r="S16" i="7"/>
  <c r="U16" i="7"/>
  <c r="C15" i="7"/>
  <c r="E15" i="7"/>
  <c r="G15" i="7"/>
  <c r="I15" i="7"/>
  <c r="K15" i="7"/>
  <c r="M15" i="7"/>
  <c r="O15" i="7"/>
  <c r="Q15" i="7"/>
  <c r="S15" i="7"/>
  <c r="U15" i="7"/>
  <c r="C14" i="7"/>
  <c r="E14" i="7"/>
  <c r="G14" i="7"/>
  <c r="I14" i="7"/>
  <c r="K14" i="7"/>
  <c r="M14" i="7"/>
  <c r="O14" i="7"/>
  <c r="Q14" i="7"/>
  <c r="S14" i="7"/>
  <c r="U14" i="7"/>
  <c r="C13" i="7"/>
  <c r="E13" i="7"/>
  <c r="G13" i="7"/>
  <c r="I13" i="7"/>
  <c r="K13" i="7"/>
  <c r="M13" i="7"/>
  <c r="O13" i="7"/>
  <c r="Q13" i="7"/>
  <c r="S13" i="7"/>
  <c r="U13" i="7"/>
  <c r="C11" i="7"/>
  <c r="E11" i="7"/>
  <c r="G11" i="7"/>
  <c r="I11" i="7"/>
  <c r="K11" i="7"/>
  <c r="M11" i="7"/>
  <c r="O11" i="7"/>
  <c r="Q11" i="7"/>
  <c r="S11" i="7"/>
  <c r="U11" i="7"/>
  <c r="C8" i="7"/>
  <c r="E8" i="7"/>
  <c r="G8" i="7"/>
  <c r="I8" i="7"/>
  <c r="K8" i="7"/>
  <c r="M8" i="7"/>
  <c r="O8" i="7"/>
  <c r="Q8" i="7"/>
  <c r="S8" i="7"/>
  <c r="U8" i="7"/>
  <c r="C12" i="7"/>
  <c r="E12" i="7"/>
  <c r="G12" i="7"/>
  <c r="I12" i="7"/>
  <c r="K12" i="7"/>
  <c r="M12" i="7"/>
  <c r="O12" i="7"/>
  <c r="Q12" i="7"/>
  <c r="S12" i="7"/>
  <c r="U12" i="7"/>
  <c r="U15" i="4"/>
  <c r="T15" i="4"/>
  <c r="S15" i="4"/>
  <c r="R15" i="4"/>
  <c r="Q15" i="4"/>
  <c r="P15" i="4"/>
  <c r="O15" i="4"/>
  <c r="N15" i="4"/>
  <c r="M15" i="4"/>
  <c r="L15" i="4"/>
  <c r="K15" i="4"/>
  <c r="J15" i="4"/>
  <c r="I15" i="4"/>
  <c r="H15" i="4"/>
  <c r="G15" i="4"/>
  <c r="F15" i="4"/>
  <c r="E15" i="4"/>
  <c r="D15" i="4"/>
  <c r="C15" i="4"/>
  <c r="U13" i="4"/>
  <c r="T13" i="4"/>
  <c r="S13" i="4"/>
  <c r="R13" i="4"/>
  <c r="Q13" i="4"/>
  <c r="P13" i="4"/>
  <c r="O13" i="4"/>
  <c r="N13" i="4"/>
  <c r="M13" i="4"/>
  <c r="L13" i="4"/>
  <c r="K13" i="4"/>
  <c r="J13" i="4"/>
  <c r="I13" i="4"/>
  <c r="H13" i="4"/>
  <c r="G13" i="4"/>
  <c r="F13" i="4"/>
  <c r="E13" i="4"/>
  <c r="D13" i="4"/>
  <c r="C13" i="4"/>
  <c r="E9" i="7"/>
  <c r="G9" i="7"/>
  <c r="I9" i="7"/>
  <c r="K9" i="7"/>
  <c r="M9" i="7"/>
  <c r="O9" i="7"/>
  <c r="Q9" i="7"/>
  <c r="S9" i="7"/>
  <c r="U9" i="7"/>
  <c r="W9" i="7"/>
  <c r="Y9" i="7"/>
  <c r="AA9" i="7"/>
  <c r="AC9" i="7"/>
  <c r="AE9" i="7"/>
  <c r="AG9" i="7"/>
  <c r="AI9" i="7"/>
  <c r="AK9" i="7"/>
  <c r="AM9" i="7"/>
  <c r="AO9" i="7"/>
  <c r="U17" i="4"/>
  <c r="T17" i="4"/>
  <c r="S17" i="4"/>
  <c r="R17" i="4"/>
  <c r="Q17" i="4"/>
  <c r="P17" i="4"/>
  <c r="O17" i="4"/>
  <c r="N17" i="4"/>
  <c r="M17" i="4"/>
  <c r="L17" i="4"/>
  <c r="K17" i="4"/>
  <c r="J17" i="4"/>
  <c r="I17" i="4"/>
  <c r="H17" i="4"/>
  <c r="G17" i="4"/>
  <c r="F17" i="4"/>
  <c r="E17" i="4"/>
  <c r="D17" i="4"/>
  <c r="C17" i="4"/>
  <c r="U16" i="4"/>
  <c r="T16" i="4"/>
  <c r="S16" i="4"/>
  <c r="R16" i="4"/>
  <c r="Q16" i="4"/>
  <c r="P16" i="4"/>
  <c r="O16" i="4"/>
  <c r="N16" i="4"/>
  <c r="M16" i="4"/>
  <c r="L16" i="4"/>
  <c r="K16" i="4"/>
  <c r="J16" i="4"/>
  <c r="I16" i="4"/>
  <c r="H16" i="4"/>
  <c r="G16" i="4"/>
  <c r="F16" i="4"/>
  <c r="E16" i="4"/>
  <c r="D16" i="4"/>
  <c r="C16" i="4"/>
  <c r="U14" i="4"/>
  <c r="T14" i="4"/>
  <c r="S14" i="4"/>
  <c r="R14" i="4"/>
  <c r="Q14" i="4"/>
  <c r="P14" i="4"/>
  <c r="O14" i="4"/>
  <c r="N14" i="4"/>
  <c r="M14" i="4"/>
  <c r="L14" i="4"/>
  <c r="K14" i="4"/>
  <c r="J14" i="4"/>
  <c r="I14" i="4"/>
  <c r="H14" i="4"/>
  <c r="G14" i="4"/>
  <c r="F14" i="4"/>
  <c r="E14" i="4"/>
  <c r="D14" i="4"/>
  <c r="C14" i="4"/>
  <c r="U11" i="4"/>
  <c r="T11" i="4"/>
  <c r="S11" i="4"/>
  <c r="R11" i="4"/>
  <c r="Q11" i="4"/>
  <c r="P11" i="4"/>
  <c r="O11" i="4"/>
  <c r="N11" i="4"/>
  <c r="M11" i="4"/>
  <c r="L11" i="4"/>
  <c r="K11" i="4"/>
  <c r="J11" i="4"/>
  <c r="I11" i="4"/>
  <c r="H11" i="4"/>
  <c r="G11" i="4"/>
  <c r="F11" i="4"/>
  <c r="E11" i="4"/>
  <c r="D11" i="4"/>
  <c r="C11" i="4"/>
  <c r="U8" i="4"/>
  <c r="T8" i="4"/>
  <c r="S8" i="4"/>
  <c r="R8" i="4"/>
  <c r="Q8" i="4"/>
  <c r="P8" i="4"/>
  <c r="O8" i="4"/>
  <c r="N8" i="4"/>
  <c r="M8" i="4"/>
  <c r="L8" i="4"/>
  <c r="K8" i="4"/>
  <c r="J8" i="4"/>
  <c r="I8" i="4"/>
  <c r="H8" i="4"/>
  <c r="G8" i="4"/>
  <c r="F8" i="4"/>
  <c r="E8" i="4"/>
  <c r="D8" i="4"/>
  <c r="C8" i="4"/>
  <c r="U12" i="4"/>
  <c r="T12" i="4"/>
  <c r="S12" i="4"/>
  <c r="R12" i="4"/>
  <c r="Q12" i="4"/>
  <c r="P12" i="4"/>
  <c r="O12" i="4"/>
  <c r="N12" i="4"/>
  <c r="M12" i="4"/>
  <c r="L12" i="4"/>
  <c r="K12" i="4"/>
  <c r="J12" i="4"/>
  <c r="I12" i="4"/>
  <c r="H12" i="4"/>
  <c r="G12" i="4"/>
  <c r="F12" i="4"/>
  <c r="E12" i="4"/>
  <c r="D12" i="4"/>
  <c r="C12" i="4"/>
  <c r="F10" i="14"/>
  <c r="F13" i="14"/>
  <c r="F8" i="14"/>
  <c r="U6" i="4"/>
  <c r="T6" i="4"/>
  <c r="S6" i="4"/>
  <c r="R6" i="4"/>
  <c r="Q6" i="4"/>
  <c r="P6" i="4"/>
  <c r="O6" i="4"/>
  <c r="N6" i="4"/>
  <c r="M6" i="4"/>
  <c r="L6" i="4"/>
  <c r="K6" i="4"/>
  <c r="J6" i="4"/>
  <c r="I6" i="4"/>
  <c r="H6" i="4"/>
  <c r="G6" i="4"/>
  <c r="F6" i="4"/>
  <c r="E6" i="4"/>
  <c r="D6" i="4"/>
  <c r="C6" i="4"/>
  <c r="U9" i="4"/>
  <c r="T9" i="4"/>
  <c r="S9" i="4"/>
  <c r="R9" i="4"/>
  <c r="Q9" i="4"/>
  <c r="P9" i="4"/>
  <c r="O9" i="4"/>
  <c r="N9" i="4"/>
  <c r="M9" i="4"/>
  <c r="L9" i="4"/>
  <c r="K9" i="4"/>
  <c r="J9" i="4"/>
  <c r="H9" i="4"/>
  <c r="I9" i="4"/>
  <c r="G9" i="4"/>
  <c r="F9" i="4"/>
  <c r="E9" i="4"/>
  <c r="D9" i="4"/>
  <c r="C9" i="4"/>
  <c r="L11" i="3"/>
  <c r="N11" i="3"/>
  <c r="P11" i="3"/>
  <c r="R11" i="3"/>
  <c r="T11" i="3"/>
  <c r="L8" i="3"/>
  <c r="N8" i="3"/>
  <c r="P8" i="3"/>
  <c r="R8" i="3"/>
  <c r="T8" i="3"/>
  <c r="L12" i="3"/>
  <c r="N12" i="3"/>
  <c r="P12" i="3"/>
  <c r="R12" i="3"/>
  <c r="T12" i="3"/>
  <c r="L6" i="3"/>
  <c r="T6" i="3"/>
  <c r="R6" i="3"/>
  <c r="P6" i="3"/>
  <c r="N6" i="3"/>
  <c r="D15" i="2"/>
  <c r="E15" i="2"/>
  <c r="F15" i="2"/>
  <c r="G15" i="2"/>
  <c r="H15" i="2"/>
  <c r="I15" i="2"/>
  <c r="J15" i="2"/>
  <c r="K15" i="2"/>
  <c r="L15" i="2"/>
  <c r="M15" i="2"/>
  <c r="D13" i="2"/>
  <c r="E13" i="2"/>
  <c r="F13" i="2"/>
  <c r="G13" i="2"/>
  <c r="H13" i="2"/>
  <c r="I13" i="2"/>
  <c r="J13" i="2"/>
  <c r="K13" i="2"/>
  <c r="L13" i="2"/>
  <c r="M13" i="2"/>
  <c r="D11" i="2"/>
  <c r="E11" i="2"/>
  <c r="F11" i="2"/>
  <c r="G11" i="2"/>
  <c r="H11" i="2"/>
  <c r="I11" i="2"/>
  <c r="J11" i="2"/>
  <c r="K11" i="2"/>
  <c r="L11" i="2"/>
  <c r="M11" i="2"/>
  <c r="D8" i="2"/>
  <c r="E8" i="2"/>
  <c r="F8" i="2"/>
  <c r="G8" i="2"/>
  <c r="H8" i="2"/>
  <c r="I8" i="2"/>
  <c r="J8" i="2"/>
  <c r="K8" i="2"/>
  <c r="L8" i="2"/>
  <c r="M8" i="2"/>
  <c r="D12" i="2"/>
  <c r="E12" i="2"/>
  <c r="F12" i="2"/>
  <c r="G12" i="2"/>
  <c r="H12" i="2"/>
  <c r="I12" i="2"/>
  <c r="J12" i="2"/>
  <c r="K12" i="2"/>
  <c r="L12" i="2"/>
  <c r="M12" i="2"/>
  <c r="D6" i="2"/>
  <c r="E6" i="2"/>
  <c r="F6" i="2"/>
  <c r="G6" i="2"/>
  <c r="H6" i="2"/>
  <c r="I6" i="2"/>
  <c r="J6" i="2"/>
  <c r="K6" i="2"/>
  <c r="L6" i="2"/>
  <c r="M6" i="2"/>
  <c r="D9" i="2"/>
  <c r="E9" i="2"/>
  <c r="F9" i="2"/>
  <c r="G9" i="2"/>
  <c r="H9" i="2"/>
  <c r="I9" i="2"/>
  <c r="J9" i="2"/>
  <c r="K9" i="2"/>
  <c r="L9" i="2"/>
  <c r="M9" i="2"/>
  <c r="F12" i="14"/>
  <c r="F20" i="14"/>
  <c r="F15" i="14"/>
  <c r="F17" i="14"/>
  <c r="F18" i="14"/>
  <c r="F9" i="14"/>
  <c r="F11" i="14"/>
  <c r="F19" i="14"/>
  <c r="F14" i="14"/>
  <c r="F16" i="14"/>
  <c r="AK6" i="3"/>
  <c r="W17" i="7"/>
  <c r="Y17" i="7"/>
  <c r="AA17" i="7"/>
  <c r="AC17" i="7"/>
  <c r="AE17" i="7"/>
  <c r="AG17" i="7"/>
  <c r="AI17" i="7"/>
  <c r="AK17" i="7"/>
  <c r="AM17" i="7"/>
  <c r="AO17" i="7"/>
  <c r="G20" i="14"/>
  <c r="W18" i="7"/>
  <c r="Y18" i="7"/>
  <c r="AA18" i="7"/>
  <c r="AC18" i="7"/>
  <c r="AE18" i="7"/>
  <c r="AG18" i="7"/>
  <c r="AI18" i="7"/>
  <c r="AK18" i="7"/>
  <c r="AM18" i="7"/>
  <c r="AO18" i="7"/>
  <c r="G21" i="14"/>
  <c r="G8" i="14"/>
  <c r="G13" i="14"/>
  <c r="G10" i="14"/>
  <c r="W16" i="7"/>
  <c r="Y16" i="7"/>
  <c r="AA16" i="7"/>
  <c r="AC16" i="7"/>
  <c r="AE16" i="7"/>
  <c r="AG16" i="7"/>
  <c r="AI16" i="7"/>
  <c r="AK16" i="7"/>
  <c r="AM16" i="7"/>
  <c r="AO16" i="7"/>
  <c r="G19" i="14"/>
  <c r="W15" i="7"/>
  <c r="Y15" i="7"/>
  <c r="AA15" i="7"/>
  <c r="AC15" i="7"/>
  <c r="AE15" i="7"/>
  <c r="AG15" i="7"/>
  <c r="AI15" i="7"/>
  <c r="AK15" i="7"/>
  <c r="AM15" i="7"/>
  <c r="AO15" i="7"/>
  <c r="G18" i="14"/>
  <c r="W8" i="7"/>
  <c r="Y8" i="7"/>
  <c r="AA8" i="7"/>
  <c r="AC8" i="7"/>
  <c r="AE8" i="7"/>
  <c r="AG8" i="7"/>
  <c r="AI8" i="7"/>
  <c r="AK8" i="7"/>
  <c r="AM8" i="7"/>
  <c r="AO8" i="7"/>
  <c r="G11" i="14"/>
  <c r="W12" i="7"/>
  <c r="Y12" i="7"/>
  <c r="AA12" i="7"/>
  <c r="AC12" i="7"/>
  <c r="AE12" i="7"/>
  <c r="AG12" i="7"/>
  <c r="AI12" i="7"/>
  <c r="AK12" i="7"/>
  <c r="AM12" i="7"/>
  <c r="AO12" i="7"/>
  <c r="G15" i="14"/>
  <c r="W11" i="7"/>
  <c r="Y11" i="7"/>
  <c r="AA11" i="7"/>
  <c r="AC11" i="7"/>
  <c r="AE11" i="7"/>
  <c r="AG11" i="7"/>
  <c r="AI11" i="7"/>
  <c r="AK11" i="7"/>
  <c r="AM11" i="7"/>
  <c r="AO11" i="7"/>
  <c r="G14" i="14"/>
  <c r="W13" i="7"/>
  <c r="Y13" i="7"/>
  <c r="AA13" i="7"/>
  <c r="AC13" i="7"/>
  <c r="AE13" i="7"/>
  <c r="AG13" i="7"/>
  <c r="AI13" i="7"/>
  <c r="AK13" i="7"/>
  <c r="AM13" i="7"/>
  <c r="AO13" i="7"/>
  <c r="G16" i="14"/>
  <c r="W14" i="7"/>
  <c r="Y14" i="7"/>
  <c r="AA14" i="7"/>
  <c r="AC14" i="7"/>
  <c r="AE14" i="7"/>
  <c r="AG14" i="7"/>
  <c r="AI14" i="7"/>
  <c r="AK14" i="7"/>
  <c r="AM14" i="7"/>
  <c r="AO14" i="7"/>
  <c r="G17" i="14"/>
  <c r="AO9" i="3"/>
  <c r="AM9" i="3"/>
  <c r="AM11" i="3"/>
  <c r="AO11" i="3"/>
  <c r="AM12" i="3"/>
  <c r="AO12" i="3"/>
  <c r="AM6" i="3"/>
  <c r="AO6" i="3"/>
  <c r="AM8" i="3"/>
  <c r="AO8" i="3"/>
  <c r="D20" i="14"/>
  <c r="N9" i="2"/>
  <c r="O9" i="2"/>
  <c r="P9" i="2"/>
  <c r="Q9" i="2"/>
  <c r="R9" i="2"/>
  <c r="S9" i="2"/>
  <c r="T9" i="2"/>
  <c r="U9" i="2"/>
  <c r="V9" i="2"/>
  <c r="W9" i="2"/>
  <c r="D12" i="14"/>
  <c r="D10" i="14"/>
  <c r="N12" i="2"/>
  <c r="O12" i="2"/>
  <c r="P12" i="2"/>
  <c r="Q12" i="2"/>
  <c r="R12" i="2"/>
  <c r="S12" i="2"/>
  <c r="T12" i="2"/>
  <c r="U12" i="2"/>
  <c r="V12" i="2"/>
  <c r="W12" i="2"/>
  <c r="D15" i="14"/>
  <c r="N8" i="2"/>
  <c r="O8" i="2"/>
  <c r="P8" i="2"/>
  <c r="Q8" i="2"/>
  <c r="R8" i="2"/>
  <c r="S8" i="2"/>
  <c r="T8" i="2"/>
  <c r="U8" i="2"/>
  <c r="V8" i="2"/>
  <c r="W8" i="2"/>
  <c r="D11" i="14"/>
  <c r="D13" i="14"/>
  <c r="N11" i="2"/>
  <c r="O11" i="2"/>
  <c r="P11" i="2"/>
  <c r="Q11" i="2"/>
  <c r="R11" i="2"/>
  <c r="S11" i="2"/>
  <c r="T11" i="2"/>
  <c r="U11" i="2"/>
  <c r="V11" i="2"/>
  <c r="W11" i="2"/>
  <c r="D14" i="14"/>
  <c r="N13" i="2"/>
  <c r="O13" i="2"/>
  <c r="P13" i="2"/>
  <c r="Q13" i="2"/>
  <c r="R13" i="2"/>
  <c r="S13" i="2"/>
  <c r="T13" i="2"/>
  <c r="U13" i="2"/>
  <c r="V13" i="2"/>
  <c r="W13" i="2"/>
  <c r="D16" i="14"/>
  <c r="N6" i="2"/>
  <c r="O6" i="2"/>
  <c r="P6" i="2"/>
  <c r="Q6" i="2"/>
  <c r="R6" i="2"/>
  <c r="S6" i="2"/>
  <c r="T6" i="2"/>
  <c r="U6" i="2"/>
  <c r="V6" i="2"/>
  <c r="W6" i="2"/>
  <c r="D9" i="14"/>
  <c r="N15" i="2"/>
  <c r="O15" i="2"/>
  <c r="P15" i="2"/>
  <c r="Q15" i="2"/>
  <c r="R15" i="2"/>
  <c r="S15" i="2"/>
  <c r="T15" i="2"/>
  <c r="U15" i="2"/>
  <c r="V15" i="2"/>
  <c r="W15" i="2"/>
  <c r="D18" i="14"/>
  <c r="L12" i="1"/>
  <c r="L8" i="1"/>
  <c r="L18" i="1"/>
  <c r="J6" i="1"/>
  <c r="L11" i="1"/>
  <c r="L9" i="1"/>
  <c r="G12" i="14"/>
  <c r="L13" i="1"/>
  <c r="AE9" i="3"/>
  <c r="S9" i="3"/>
  <c r="M9" i="3"/>
  <c r="AI9" i="3"/>
  <c r="AC9" i="3"/>
  <c r="Q9" i="3"/>
  <c r="AA9" i="3"/>
  <c r="O9" i="3"/>
  <c r="AG9" i="3"/>
  <c r="U9" i="3"/>
  <c r="Y9" i="3"/>
  <c r="W9" i="3"/>
  <c r="AA12" i="3"/>
  <c r="AI12" i="3"/>
  <c r="AG12" i="3"/>
  <c r="U12" i="3"/>
  <c r="E15" i="14"/>
  <c r="M12" i="3"/>
  <c r="AE12" i="3"/>
  <c r="S12" i="3"/>
  <c r="Y12" i="3"/>
  <c r="W12" i="3"/>
  <c r="AC12" i="3"/>
  <c r="Q12" i="3"/>
  <c r="AK12" i="3"/>
  <c r="O12" i="3"/>
  <c r="E8" i="14"/>
  <c r="AG11" i="3"/>
  <c r="U11" i="3"/>
  <c r="AC11" i="3"/>
  <c r="Q11" i="3"/>
  <c r="Y11" i="3"/>
  <c r="AE11" i="3"/>
  <c r="S11" i="3"/>
  <c r="M11" i="3"/>
  <c r="O11" i="3"/>
  <c r="AI11" i="3"/>
  <c r="AK11" i="3"/>
  <c r="AA11" i="3"/>
  <c r="W11" i="3"/>
  <c r="Q8" i="3"/>
  <c r="AI8" i="3"/>
  <c r="AC8" i="3"/>
  <c r="AG8" i="3"/>
  <c r="U8" i="3"/>
  <c r="E11" i="14"/>
  <c r="AK8" i="3"/>
  <c r="AA8" i="3"/>
  <c r="O8" i="3"/>
  <c r="Y8" i="3"/>
  <c r="M8" i="3"/>
  <c r="W8" i="3"/>
  <c r="AE8" i="3"/>
  <c r="S8" i="3"/>
  <c r="E13" i="14"/>
  <c r="E10" i="14"/>
  <c r="M6" i="3"/>
  <c r="AA6" i="3"/>
  <c r="O6" i="3"/>
  <c r="U6" i="3"/>
  <c r="E9" i="14"/>
  <c r="Q6" i="3"/>
  <c r="Y6" i="3"/>
  <c r="AG6" i="3"/>
  <c r="AC6" i="3"/>
  <c r="AI6" i="3"/>
  <c r="W6" i="3"/>
  <c r="AE6" i="3"/>
  <c r="S6" i="3"/>
  <c r="E12" i="14"/>
  <c r="E14" i="14"/>
  <c r="L6" i="1"/>
  <c r="N9" i="1"/>
  <c r="N18" i="1"/>
  <c r="N8" i="1"/>
  <c r="N11" i="1"/>
  <c r="N12" i="1"/>
  <c r="N15" i="1"/>
  <c r="N13" i="1"/>
  <c r="K6" i="7"/>
  <c r="M6" i="7"/>
  <c r="O6" i="7"/>
  <c r="Q6" i="7"/>
  <c r="S6" i="7"/>
  <c r="U6" i="7"/>
  <c r="P8" i="1"/>
  <c r="P12" i="1"/>
  <c r="N6" i="1"/>
  <c r="P9" i="1"/>
  <c r="P11" i="1"/>
  <c r="P18" i="1"/>
  <c r="P15" i="1"/>
  <c r="P13" i="1"/>
  <c r="W6" i="7"/>
  <c r="Y6" i="7"/>
  <c r="AA6" i="7"/>
  <c r="G9" i="14"/>
  <c r="R9" i="1"/>
  <c r="R12" i="1"/>
  <c r="P6" i="1"/>
  <c r="R18" i="1"/>
  <c r="R11" i="1"/>
  <c r="R8" i="1"/>
  <c r="R15" i="1"/>
  <c r="R13" i="1"/>
  <c r="AC6" i="7"/>
  <c r="AE6" i="7"/>
  <c r="AG6" i="7"/>
  <c r="AI6" i="7"/>
  <c r="AK6" i="7"/>
  <c r="AM6" i="7"/>
  <c r="AO6" i="7"/>
  <c r="T8" i="1"/>
  <c r="T11" i="1"/>
  <c r="T12" i="1"/>
  <c r="R6" i="1"/>
  <c r="T18" i="1"/>
  <c r="T9" i="1"/>
  <c r="T15" i="1"/>
  <c r="T13" i="1"/>
  <c r="V9" i="1"/>
  <c r="T6" i="1"/>
  <c r="V11" i="1"/>
  <c r="V18" i="1"/>
  <c r="V12" i="1"/>
  <c r="V8" i="1"/>
  <c r="V15" i="1"/>
  <c r="V13" i="1"/>
  <c r="X9" i="1"/>
  <c r="X8" i="1"/>
  <c r="X12" i="1"/>
  <c r="X11" i="1"/>
  <c r="V6" i="1"/>
  <c r="X18" i="1"/>
  <c r="X15" i="1"/>
  <c r="X13" i="1"/>
  <c r="Z12" i="1"/>
  <c r="Z9" i="1"/>
  <c r="Z11" i="1"/>
  <c r="X6" i="1"/>
  <c r="Z8" i="1"/>
  <c r="Z18" i="1"/>
  <c r="Z15" i="1"/>
  <c r="Z13" i="1"/>
  <c r="Z6" i="1"/>
  <c r="AB11" i="1"/>
  <c r="AB9" i="1"/>
  <c r="AB18" i="1"/>
  <c r="AB8" i="1"/>
  <c r="AB12" i="1"/>
  <c r="AB15" i="1"/>
  <c r="AB13" i="1"/>
  <c r="AD9" i="1"/>
  <c r="AD11" i="1"/>
  <c r="AD12" i="1"/>
  <c r="AD8" i="1"/>
  <c r="AD18" i="1"/>
  <c r="AB6" i="1"/>
  <c r="AD15" i="1"/>
  <c r="AD13" i="1"/>
  <c r="AF11" i="1"/>
  <c r="AF9" i="1"/>
  <c r="AF12" i="1"/>
  <c r="AD6" i="1"/>
  <c r="AF18" i="1"/>
  <c r="AF8" i="1"/>
  <c r="AF15" i="1"/>
  <c r="AF13" i="1"/>
  <c r="AH9" i="1"/>
  <c r="AH12" i="1"/>
  <c r="AH8" i="1"/>
  <c r="AH18" i="1"/>
  <c r="AF6" i="1"/>
  <c r="AH11" i="1"/>
  <c r="AH15" i="1"/>
  <c r="AH13" i="1"/>
  <c r="AJ9" i="1"/>
  <c r="AJ18" i="1"/>
  <c r="AJ8" i="1"/>
  <c r="AH6" i="1"/>
  <c r="AJ11" i="1"/>
  <c r="AJ12" i="1"/>
  <c r="AJ15" i="1"/>
  <c r="AJ13" i="1"/>
  <c r="AL18" i="1"/>
  <c r="AL8" i="1"/>
  <c r="AL9" i="1"/>
  <c r="AL12" i="1"/>
  <c r="AL11" i="1"/>
  <c r="AJ6" i="1"/>
  <c r="AL15" i="1"/>
  <c r="AL13" i="1"/>
  <c r="AN12" i="1"/>
  <c r="AN9" i="1"/>
  <c r="AN8" i="1"/>
  <c r="AL6" i="1"/>
  <c r="AN11" i="1"/>
  <c r="AN18" i="1"/>
  <c r="AN15" i="1"/>
  <c r="AN13" i="1"/>
  <c r="AP13" i="1"/>
  <c r="AP11" i="1"/>
  <c r="AP18" i="1"/>
  <c r="AN6" i="1"/>
  <c r="AP9" i="1"/>
  <c r="AP8" i="1"/>
  <c r="AP12" i="1"/>
  <c r="AP15" i="1"/>
  <c r="AR12" i="1"/>
  <c r="AR8" i="1"/>
  <c r="AR18" i="1"/>
  <c r="AR9" i="1"/>
  <c r="AP6" i="1"/>
  <c r="AR11" i="1"/>
  <c r="AR15" i="1"/>
  <c r="AR13" i="1"/>
  <c r="AT9" i="1"/>
  <c r="AT11" i="1"/>
  <c r="AR6" i="1"/>
  <c r="AT18" i="1"/>
  <c r="AT8" i="1"/>
  <c r="AT12" i="1"/>
  <c r="AT15" i="1"/>
  <c r="AT13" i="1"/>
  <c r="AV18" i="1"/>
  <c r="AT6" i="1"/>
  <c r="AV12" i="1"/>
  <c r="AV11" i="1"/>
  <c r="AV8" i="1"/>
  <c r="AV9" i="1"/>
  <c r="AV15" i="1"/>
  <c r="AV13" i="1"/>
  <c r="AX18" i="1"/>
  <c r="AV6" i="1"/>
  <c r="AX8" i="1"/>
  <c r="AX11" i="1"/>
  <c r="AX12" i="1"/>
  <c r="AX9" i="1"/>
  <c r="AX15" i="1"/>
  <c r="AX13" i="1"/>
  <c r="AX6" i="1"/>
  <c r="AZ9" i="1"/>
  <c r="AZ18" i="1"/>
  <c r="AZ8" i="1"/>
  <c r="AZ11" i="1"/>
  <c r="AZ12" i="1"/>
  <c r="AZ15" i="1"/>
  <c r="AZ13" i="1"/>
  <c r="AZ6" i="1"/>
  <c r="BB18" i="1"/>
  <c r="BB8" i="1"/>
  <c r="BB12" i="1"/>
  <c r="BB9" i="1"/>
  <c r="BB11" i="1"/>
  <c r="BB15" i="1"/>
  <c r="BB13" i="1"/>
  <c r="BD8" i="1"/>
  <c r="BD11" i="1"/>
  <c r="BD18" i="1"/>
  <c r="BD9" i="1"/>
  <c r="BB6" i="1"/>
  <c r="BD12" i="1"/>
  <c r="BD15" i="1"/>
  <c r="BD13" i="1"/>
  <c r="BF18" i="1"/>
  <c r="BF11" i="1"/>
  <c r="BD6" i="1"/>
  <c r="BF12" i="1"/>
  <c r="BF9" i="1"/>
  <c r="BF8" i="1"/>
  <c r="BF15" i="1"/>
  <c r="BF13" i="1"/>
  <c r="BH8" i="1"/>
  <c r="BH9" i="1"/>
  <c r="BF6" i="1"/>
  <c r="BH11" i="1"/>
  <c r="BH12" i="1"/>
  <c r="BH18" i="1"/>
  <c r="BH15" i="1"/>
  <c r="BH13" i="1"/>
  <c r="BJ18" i="1"/>
  <c r="BL18" i="1"/>
  <c r="BN18" i="1"/>
  <c r="BP18" i="1"/>
  <c r="BR18" i="1"/>
  <c r="BT18" i="1"/>
  <c r="BV18" i="1"/>
  <c r="BX18" i="1"/>
  <c r="BZ18" i="1"/>
  <c r="CB18" i="1"/>
  <c r="CD18" i="1"/>
  <c r="CF18" i="1"/>
  <c r="CH18" i="1"/>
  <c r="CJ18" i="1"/>
  <c r="CL18" i="1"/>
  <c r="CN18" i="1"/>
  <c r="CP18" i="1"/>
  <c r="CR18" i="1"/>
  <c r="CT18" i="1"/>
  <c r="BJ9" i="1"/>
  <c r="BL9" i="1"/>
  <c r="BN9" i="1"/>
  <c r="BP9" i="1"/>
  <c r="BR9" i="1"/>
  <c r="BT9" i="1"/>
  <c r="BV9" i="1"/>
  <c r="BX9" i="1"/>
  <c r="BZ9" i="1"/>
  <c r="CB9" i="1"/>
  <c r="CD9" i="1"/>
  <c r="CF9" i="1"/>
  <c r="CH9" i="1"/>
  <c r="CJ9" i="1"/>
  <c r="CL9" i="1"/>
  <c r="CN9" i="1"/>
  <c r="CP9" i="1"/>
  <c r="CR9" i="1"/>
  <c r="CT9" i="1"/>
  <c r="BJ8" i="1"/>
  <c r="BL8" i="1"/>
  <c r="BN8" i="1"/>
  <c r="BP8" i="1"/>
  <c r="BR8" i="1"/>
  <c r="BT8" i="1"/>
  <c r="BV8" i="1"/>
  <c r="BX8" i="1"/>
  <c r="BZ8" i="1"/>
  <c r="CB8" i="1"/>
  <c r="CD8" i="1"/>
  <c r="CF8" i="1"/>
  <c r="CH8" i="1"/>
  <c r="CJ8" i="1"/>
  <c r="CL8" i="1"/>
  <c r="CN8" i="1"/>
  <c r="CP8" i="1"/>
  <c r="CR8" i="1"/>
  <c r="CT8" i="1"/>
  <c r="BJ12" i="1"/>
  <c r="BL12" i="1"/>
  <c r="BN12" i="1"/>
  <c r="BP12" i="1"/>
  <c r="BR12" i="1"/>
  <c r="BT12" i="1"/>
  <c r="BV12" i="1"/>
  <c r="BX12" i="1"/>
  <c r="BZ12" i="1"/>
  <c r="CB12" i="1"/>
  <c r="CD12" i="1"/>
  <c r="CF12" i="1"/>
  <c r="CH12" i="1"/>
  <c r="CJ12" i="1"/>
  <c r="CL12" i="1"/>
  <c r="CN12" i="1"/>
  <c r="CP12" i="1"/>
  <c r="CR12" i="1"/>
  <c r="CT12" i="1"/>
  <c r="BH6" i="1"/>
  <c r="BJ11" i="1"/>
  <c r="BL11" i="1"/>
  <c r="BN11" i="1"/>
  <c r="BP11" i="1"/>
  <c r="BR11" i="1"/>
  <c r="BT11" i="1"/>
  <c r="BV11" i="1"/>
  <c r="BX11" i="1"/>
  <c r="BZ11" i="1"/>
  <c r="CB11" i="1"/>
  <c r="CD11" i="1"/>
  <c r="CF11" i="1"/>
  <c r="CH11" i="1"/>
  <c r="CJ11" i="1"/>
  <c r="CL11" i="1"/>
  <c r="CN11" i="1"/>
  <c r="CP11" i="1"/>
  <c r="CR11" i="1"/>
  <c r="CT11" i="1"/>
  <c r="BJ15" i="1"/>
  <c r="BL15" i="1"/>
  <c r="BN15" i="1"/>
  <c r="BP15" i="1"/>
  <c r="BR15" i="1"/>
  <c r="BT15" i="1"/>
  <c r="BV15" i="1"/>
  <c r="BX15" i="1"/>
  <c r="BZ15" i="1"/>
  <c r="CB15" i="1"/>
  <c r="CD15" i="1"/>
  <c r="CF15" i="1"/>
  <c r="CH15" i="1"/>
  <c r="CJ15" i="1"/>
  <c r="CL15" i="1"/>
  <c r="CN15" i="1"/>
  <c r="CP15" i="1"/>
  <c r="CR15" i="1"/>
  <c r="CT15" i="1"/>
  <c r="BJ13" i="1"/>
  <c r="BL13" i="1"/>
  <c r="BN13" i="1"/>
  <c r="BP13" i="1"/>
  <c r="BR13" i="1"/>
  <c r="BT13" i="1"/>
  <c r="BV13" i="1"/>
  <c r="BX13" i="1"/>
  <c r="BZ13" i="1"/>
  <c r="CB13" i="1"/>
  <c r="CD13" i="1"/>
  <c r="CF13" i="1"/>
  <c r="CH13" i="1"/>
  <c r="CJ13" i="1"/>
  <c r="CL13" i="1"/>
  <c r="CN13" i="1"/>
  <c r="CP13" i="1"/>
  <c r="CR13" i="1"/>
  <c r="CT13" i="1"/>
  <c r="BJ6" i="1"/>
  <c r="BL6" i="1"/>
  <c r="BN6" i="1"/>
  <c r="BP6" i="1"/>
  <c r="BR6" i="1"/>
  <c r="BT6" i="1"/>
  <c r="BV6" i="1"/>
  <c r="BX6" i="1"/>
  <c r="BZ6" i="1"/>
  <c r="CB6" i="1"/>
  <c r="CD6" i="1"/>
  <c r="CF6" i="1"/>
  <c r="CH6" i="1"/>
  <c r="CJ6" i="1"/>
  <c r="CL6" i="1"/>
  <c r="CN6" i="1"/>
  <c r="CP6" i="1"/>
  <c r="CR6" i="1"/>
  <c r="CT6" i="1"/>
  <c r="I19" i="14" l="1"/>
  <c r="I17" i="14"/>
  <c r="I16" i="14"/>
  <c r="I18" i="14"/>
  <c r="I15" i="14"/>
  <c r="I14" i="14"/>
  <c r="I13" i="14"/>
  <c r="I12" i="14"/>
  <c r="I11" i="14"/>
  <c r="I8" i="14"/>
  <c r="I10" i="14"/>
  <c r="I21" i="14"/>
  <c r="I9" i="14"/>
  <c r="K14" i="14"/>
  <c r="K11" i="14"/>
  <c r="K10" i="14"/>
  <c r="K8" i="14"/>
  <c r="K13" i="14"/>
  <c r="K12" i="14"/>
  <c r="K9" i="14"/>
  <c r="K15" i="14"/>
  <c r="K17" i="14"/>
  <c r="K21" i="14"/>
  <c r="K20" i="14"/>
  <c r="K19" i="14"/>
  <c r="K18" i="14"/>
  <c r="H16" i="14"/>
  <c r="K16" i="14"/>
  <c r="H21" i="14"/>
  <c r="H20" i="14"/>
  <c r="H19" i="14"/>
  <c r="H18" i="14"/>
  <c r="J16" i="14"/>
  <c r="J18" i="14"/>
  <c r="H13" i="14"/>
  <c r="H14" i="14"/>
  <c r="J11" i="14"/>
  <c r="L18" i="14"/>
  <c r="J19" i="14"/>
  <c r="L14" i="14"/>
  <c r="L15" i="14"/>
  <c r="L20" i="14"/>
  <c r="J14" i="14"/>
  <c r="L8" i="14"/>
  <c r="H10" i="14"/>
  <c r="J15" i="14"/>
  <c r="J17" i="14"/>
  <c r="L9" i="14"/>
  <c r="L13" i="14"/>
  <c r="J13" i="14"/>
  <c r="J20" i="14"/>
  <c r="L12" i="14"/>
  <c r="L19" i="14"/>
  <c r="L21" i="14"/>
  <c r="J12" i="14"/>
  <c r="J10" i="14"/>
  <c r="J8" i="14"/>
  <c r="L17" i="14"/>
  <c r="L11" i="14"/>
  <c r="J21" i="14"/>
  <c r="H8" i="14"/>
  <c r="L16" i="14"/>
  <c r="J9" i="14"/>
  <c r="H9" i="14"/>
  <c r="L10" i="14"/>
  <c r="M18" i="14" l="1"/>
  <c r="M20" i="14"/>
  <c r="M21" i="14"/>
  <c r="M17" i="14"/>
  <c r="M19" i="14"/>
  <c r="M16" i="14"/>
  <c r="M9" i="14"/>
  <c r="M10" i="14"/>
  <c r="M8" i="14"/>
  <c r="M13" i="14"/>
  <c r="M14" i="14"/>
  <c r="H12" i="14"/>
  <c r="M12" i="14" s="1"/>
  <c r="H15" i="14"/>
  <c r="M15" i="14" s="1"/>
  <c r="H11" i="14"/>
  <c r="M11" i="14" s="1"/>
  <c r="U14" i="5" l="1"/>
</calcChain>
</file>

<file path=xl/sharedStrings.xml><?xml version="1.0" encoding="utf-8"?>
<sst xmlns="http://schemas.openxmlformats.org/spreadsheetml/2006/main" count="607" uniqueCount="158">
  <si>
    <t>ประเภทรถ</t>
  </si>
  <si>
    <t>ราคารถเริ่มต้น</t>
  </si>
  <si>
    <t>ค่า พรบ</t>
  </si>
  <si>
    <t>ปีที่ 1</t>
  </si>
  <si>
    <t>ปีที่ 2</t>
  </si>
  <si>
    <t>ปีที่ 3</t>
  </si>
  <si>
    <t>ปีที่ 4</t>
  </si>
  <si>
    <t>ปีที่ 5</t>
  </si>
  <si>
    <t>ปีที่ 6</t>
  </si>
  <si>
    <t>ปีที่ 7</t>
  </si>
  <si>
    <t>ปีที่ 8</t>
  </si>
  <si>
    <t>ปีที่ 9</t>
  </si>
  <si>
    <t>ปีที่ 10</t>
  </si>
  <si>
    <t>ปีที่ 11</t>
  </si>
  <si>
    <t>ปีที่ 12</t>
  </si>
  <si>
    <t>ปีที่ 13</t>
  </si>
  <si>
    <t>ปีที่ 14</t>
  </si>
  <si>
    <t>ปีที่ 15</t>
  </si>
  <si>
    <t>ปีที่ 16</t>
  </si>
  <si>
    <t>ปีที่ 17</t>
  </si>
  <si>
    <t>ปีที่ 18</t>
  </si>
  <si>
    <t>ปีที่ 19</t>
  </si>
  <si>
    <t>ปีที่ 20</t>
  </si>
  <si>
    <t>ค่า แบตเตอรี</t>
  </si>
  <si>
    <t>ค่า ยางรถ</t>
  </si>
  <si>
    <t>ค่า บำรุงรักษา ตามระยะทาง</t>
  </si>
  <si>
    <t>ค่าอัตาราการใช้พลังงาน</t>
  </si>
  <si>
    <t>ตกราคากิโลเมตรละ</t>
  </si>
  <si>
    <t>Altis 1.8G</t>
  </si>
  <si>
    <t>City e:HEV</t>
  </si>
  <si>
    <t>Masda3</t>
  </si>
  <si>
    <t>Masda2(เบนซิน)</t>
  </si>
  <si>
    <t>Masda2(ดีเซล)</t>
  </si>
  <si>
    <t>Vios</t>
  </si>
  <si>
    <t>รวม</t>
  </si>
  <si>
    <t>ยางรถน้ำมัน</t>
  </si>
  <si>
    <t>ยางรถไฟฟ้า</t>
  </si>
  <si>
    <t>ราคา</t>
  </si>
  <si>
    <t>6เดือน</t>
  </si>
  <si>
    <t>12เดือน</t>
  </si>
  <si>
    <t>ปีที่1</t>
  </si>
  <si>
    <t>ปีที่2</t>
  </si>
  <si>
    <t>ปีที่3</t>
  </si>
  <si>
    <t>ปีที่4</t>
  </si>
  <si>
    <t>ปีที่5</t>
  </si>
  <si>
    <t>ปีที่6</t>
  </si>
  <si>
    <t>ปีที่7</t>
  </si>
  <si>
    <t>ปีที่8</t>
  </si>
  <si>
    <t>ปีที่9</t>
  </si>
  <si>
    <t>ปีที่10</t>
  </si>
  <si>
    <t>ปีที่11</t>
  </si>
  <si>
    <t>ปีที่12</t>
  </si>
  <si>
    <t>ปีที่13</t>
  </si>
  <si>
    <t>ปีที่14</t>
  </si>
  <si>
    <t>ปีที่15</t>
  </si>
  <si>
    <t>ปีที่16</t>
  </si>
  <si>
    <t>ปีที่17</t>
  </si>
  <si>
    <t>ปีที่18</t>
  </si>
  <si>
    <t>ปีที่19</t>
  </si>
  <si>
    <t>ปีที่20</t>
  </si>
  <si>
    <t>ราคาขายคงเหลือ</t>
  </si>
  <si>
    <t>ICE ลด15%</t>
  </si>
  <si>
    <t>ICE ลด10%</t>
  </si>
  <si>
    <t>ICE ลด7%</t>
  </si>
  <si>
    <t>ICE ลด5%</t>
  </si>
  <si>
    <t>ICE ลด10%ลดลงจากปีที่1</t>
  </si>
  <si>
    <t>ค่า ภาษีรถยนต์ประจำปี</t>
  </si>
  <si>
    <t>ปีที่ 21</t>
  </si>
  <si>
    <t>18เดือน</t>
  </si>
  <si>
    <t>24เดือน</t>
  </si>
  <si>
    <t>30เดือน</t>
  </si>
  <si>
    <t>36เดือน</t>
  </si>
  <si>
    <t>42เดือน</t>
  </si>
  <si>
    <t>48เดือน</t>
  </si>
  <si>
    <t>54เดือน</t>
  </si>
  <si>
    <t>60เดือน</t>
  </si>
  <si>
    <t>66เดือน</t>
  </si>
  <si>
    <t>72เดือน</t>
  </si>
  <si>
    <t>78เดือน</t>
  </si>
  <si>
    <t>84เดือน</t>
  </si>
  <si>
    <t>90เดือน</t>
  </si>
  <si>
    <t>96เดือน</t>
  </si>
  <si>
    <t>102เดือน</t>
  </si>
  <si>
    <t>108เดือน</t>
  </si>
  <si>
    <t>114เดือน</t>
  </si>
  <si>
    <t>120เดือน</t>
  </si>
  <si>
    <t>126เดือน</t>
  </si>
  <si>
    <t>132เดือน</t>
  </si>
  <si>
    <t>138เดือน</t>
  </si>
  <si>
    <t>144เดือน</t>
  </si>
  <si>
    <t>150เดือน</t>
  </si>
  <si>
    <t>156เดือน</t>
  </si>
  <si>
    <t>162เดือน</t>
  </si>
  <si>
    <t>168เดือน</t>
  </si>
  <si>
    <t>174เดือน</t>
  </si>
  <si>
    <t>180เดือน</t>
  </si>
  <si>
    <t>ค่า แบตเตอรีไฟฟ้า</t>
  </si>
  <si>
    <t>ระยะทางวิ่ง</t>
  </si>
  <si>
    <t>ก.ม/เดือน</t>
  </si>
  <si>
    <t>ราคาน้ำมันดีเซล</t>
  </si>
  <si>
    <t>ระยะเวลาถือครอง</t>
  </si>
  <si>
    <t>ปี</t>
  </si>
  <si>
    <t>ราคาน้ำมันเบนซิน</t>
  </si>
  <si>
    <t>ราคาไฟฟ้า</t>
  </si>
  <si>
    <t>ประเภทรถยนต์</t>
  </si>
  <si>
    <t>ค่าพลังงาน</t>
  </si>
  <si>
    <t>ราคาขายต่อ</t>
  </si>
  <si>
    <t>ภาษี</t>
  </si>
  <si>
    <t>พรบ</t>
  </si>
  <si>
    <t>ประกันภัย</t>
  </si>
  <si>
    <t xml:space="preserve">ยางรถยนต์ </t>
  </si>
  <si>
    <t>แบตเตอรี่</t>
  </si>
  <si>
    <t>ค่าใช้จ่ายสะสม</t>
  </si>
  <si>
    <t>ค่าพลังงานรวม</t>
  </si>
  <si>
    <t>รวมระยะทางทั้งหมด</t>
  </si>
  <si>
    <t>กม</t>
  </si>
  <si>
    <t>แบตเตอรี่ไฟฟ้า</t>
  </si>
  <si>
    <t>Civic(e:HEV EL)</t>
  </si>
  <si>
    <t xml:space="preserve">BYD Atto 3 </t>
  </si>
  <si>
    <t>Mg 4รุ่นD (LT)</t>
  </si>
  <si>
    <t xml:space="preserve">Mg 4รุ่นD </t>
  </si>
  <si>
    <t>Mg 4รุ่นX (LT)</t>
  </si>
  <si>
    <t>Mg 4รุ่นX</t>
  </si>
  <si>
    <t>BYD Atto 3 (LT)</t>
  </si>
  <si>
    <t>Honda Civic</t>
  </si>
  <si>
    <t xml:space="preserve">Honda City Hatchback S+ </t>
  </si>
  <si>
    <t>Toyota Camry Sport</t>
  </si>
  <si>
    <t xml:space="preserve">Toyota Camry Sport </t>
  </si>
  <si>
    <t>Toyota Camry (HEV)</t>
  </si>
  <si>
    <t>ค่าซ่อมบำรุง</t>
  </si>
  <si>
    <t>186เดือน</t>
  </si>
  <si>
    <t>192เดือน</t>
  </si>
  <si>
    <t>198เดือน</t>
  </si>
  <si>
    <t>204เดือน</t>
  </si>
  <si>
    <t>210เดือน</t>
  </si>
  <si>
    <t>216เดือน</t>
  </si>
  <si>
    <t>222เดือน</t>
  </si>
  <si>
    <t>228เดือน</t>
  </si>
  <si>
    <t>234เดือน</t>
  </si>
  <si>
    <t>240เดือน</t>
  </si>
  <si>
    <t>Honda City Hatchback S+</t>
  </si>
  <si>
    <t>Toyota Camry Sport (2021)</t>
  </si>
  <si>
    <t xml:space="preserve">Altis 1.8G </t>
  </si>
  <si>
    <t>3 เดือน</t>
  </si>
  <si>
    <t>246เดือน</t>
  </si>
  <si>
    <t>252เดือน</t>
  </si>
  <si>
    <t>258เดือน</t>
  </si>
  <si>
    <t>264เดือน</t>
  </si>
  <si>
    <t>270เดือน</t>
  </si>
  <si>
    <t>276เดือน</t>
  </si>
  <si>
    <t>282เดือน</t>
  </si>
  <si>
    <t>288เดือน</t>
  </si>
  <si>
    <t>City e</t>
  </si>
  <si>
    <t>บาท/ลิตร</t>
  </si>
  <si>
    <t>บาท/หน่วย</t>
  </si>
  <si>
    <t>ราคาซื้อ</t>
  </si>
  <si>
    <t>ค่าใช้จ่ายสะสมรวม</t>
  </si>
  <si>
    <t>ท่านสามารถกรอกข้อมูล ตามระยะทางที่ใช้ในแต่ละเดือน จำนวนเวลาถือครองรถ  และราคาน้ำมันหรือราคาไฟฟ้า เพื่อใช้ในการวิเคราะห์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</si>
</sst>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"/>
    <numFmt numFmtId="166" formatCode="_-* #,##0.0_-;\-* #,##0.0_-;_-* &quot;-&quot;??_-;_-@_-"/>
  </numFmts>
  <fonts count="21">
    <font>
      <sz val="11"/>
      <color theme="1"/>
      <name val="Calibri"/>
      <family val="2"/>
      <charset val="222"/>
      <scheme val="minor"/>
    </font>
    <font>
      <sz val="11"/>
      <color theme="1"/>
      <name val="Calibri"/>
      <family val="2"/>
      <charset val="222"/>
      <scheme val="minor"/>
    </font>
    <font>
      <sz val="16"/>
      <color theme="1"/>
      <name val="TH Sarabun New"/>
      <family val="2"/>
    </font>
    <font>
      <sz val="8"/>
      <name val="Calibri"/>
      <family val="2"/>
      <charset val="222"/>
      <scheme val="minor"/>
    </font>
    <font>
      <sz val="16"/>
      <color theme="1"/>
      <name val="TH SarabunPSK"/>
      <family val="2"/>
    </font>
    <font>
      <sz val="11"/>
      <color theme="1"/>
      <name val="TH SarabunPSK"/>
      <family val="2"/>
    </font>
    <font>
      <sz val="11"/>
      <color theme="1"/>
      <name val="TH Sarabun New"/>
      <family val="2"/>
    </font>
    <font>
      <sz val="11"/>
      <color theme="1"/>
      <name val="Calibri"/>
      <family val="2"/>
      <scheme val="minor"/>
    </font>
    <font>
      <sz val="22"/>
      <color theme="1"/>
      <name val="TH Sarabun New"/>
      <family val="2"/>
    </font>
    <font>
      <sz val="16"/>
      <color rgb="FFFF0000"/>
      <name val="TH SarabunPSK"/>
      <family val="2"/>
    </font>
    <font>
      <sz val="16"/>
      <name val="TH SarabunPSK"/>
      <family val="2"/>
    </font>
    <font>
      <sz val="11"/>
      <name val="TH SarabunPSK"/>
      <family val="2"/>
    </font>
    <font>
      <sz val="16"/>
      <color rgb="FF0070C0"/>
      <name val="TH Sarabun New"/>
      <family val="2"/>
    </font>
    <font>
      <sz val="11"/>
      <color rgb="FF0070C0"/>
      <name val="TH Sarabun New"/>
      <family val="2"/>
    </font>
    <font>
      <b/>
      <sz val="18"/>
      <color rgb="FF0070C0"/>
      <name val="TH Sarabun New"/>
      <family val="2"/>
    </font>
    <font>
      <b/>
      <sz val="16"/>
      <color rgb="FFFF0000"/>
      <name val="TH Sarabun New"/>
      <family val="2"/>
    </font>
    <font>
      <b/>
      <sz val="16"/>
      <color theme="5" tint="-0.499984740745262"/>
      <name val="TH Sarabun New"/>
      <family val="2"/>
    </font>
    <font>
      <b/>
      <sz val="18"/>
      <color rgb="FFFF0000"/>
      <name val="TH Sarabun New"/>
      <family val="2"/>
    </font>
    <font>
      <sz val="16"/>
      <name val="TH Sarabun New"/>
      <family val="2"/>
    </font>
    <font>
      <b/>
      <sz val="18"/>
      <name val="TH Sarabun New"/>
      <family val="2"/>
    </font>
    <font>
      <b/>
      <sz val="16"/>
      <name val="TH Sarabun New"/>
      <family val="2"/>
    </font>
  </fonts>
  <fills count="6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BFFFF"/>
        <bgColor indexed="64"/>
      </patternFill>
    </fill>
    <fill>
      <patternFill patternType="solid">
        <fgColor theme="7" tint="0.79998168889431442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0" fontId="7" fillId="0" borderId="0"/>
  </cellStyleXfs>
  <cellXfs count="68">
    <xf numFmtId="0" fontId="0" fillId="0" borderId="0" xfId="0"/>
    <xf numFmtId="0" fontId="2" fillId="0" borderId="0" xfId="0" applyFont="1"/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0" fillId="0" borderId="0" xfId="0" applyAlignment="1">
      <alignment horizontal="right"/>
    </xf>
    <xf numFmtId="0" fontId="4" fillId="0" borderId="0" xfId="0" applyFont="1"/>
    <xf numFmtId="0" fontId="5" fillId="0" borderId="0" xfId="0" applyFont="1"/>
    <xf numFmtId="164" fontId="4" fillId="0" borderId="0" xfId="1" applyNumberFormat="1" applyFont="1" applyFill="1" applyAlignment="1">
      <alignment horizontal="center" shrinkToFit="1"/>
    </xf>
    <xf numFmtId="0" fontId="4" fillId="0" borderId="0" xfId="0" applyFont="1" applyAlignment="1">
      <alignment horizontal="center"/>
    </xf>
    <xf numFmtId="164" fontId="2" fillId="0" borderId="0" xfId="1" applyNumberFormat="1" applyFont="1"/>
    <xf numFmtId="164" fontId="2" fillId="0" borderId="0" xfId="1" applyNumberFormat="1" applyFont="1" applyFill="1"/>
    <xf numFmtId="9" fontId="2" fillId="0" borderId="0" xfId="0" applyNumberFormat="1" applyFont="1"/>
    <xf numFmtId="3" fontId="2" fillId="0" borderId="0" xfId="0" applyNumberFormat="1" applyFont="1"/>
    <xf numFmtId="0" fontId="6" fillId="0" borderId="0" xfId="0" applyFont="1"/>
    <xf numFmtId="0" fontId="4" fillId="0" borderId="0" xfId="0" applyFont="1" applyAlignment="1">
      <alignment vertical="center"/>
    </xf>
    <xf numFmtId="0" fontId="4" fillId="0" borderId="0" xfId="0" applyFont="1" applyAlignment="1">
      <alignment horizontal="left"/>
    </xf>
    <xf numFmtId="0" fontId="2" fillId="0" borderId="0" xfId="0" applyFont="1" applyAlignment="1">
      <alignment horizontal="left"/>
    </xf>
    <xf numFmtId="3" fontId="10" fillId="0" borderId="0" xfId="0" applyNumberFormat="1" applyFont="1" applyAlignment="1">
      <alignment horizontal="center"/>
    </xf>
    <xf numFmtId="0" fontId="4" fillId="0" borderId="0" xfId="0" applyFont="1" applyAlignment="1">
      <alignment horizontal="left" indent="9"/>
    </xf>
    <xf numFmtId="164" fontId="4" fillId="0" borderId="0" xfId="1" applyNumberFormat="1" applyFont="1" applyFill="1" applyAlignment="1">
      <alignment horizontal="right" shrinkToFit="1"/>
    </xf>
    <xf numFmtId="3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0" fontId="4" fillId="0" borderId="0" xfId="0" applyFont="1" applyAlignment="1">
      <alignment shrinkToFit="1"/>
    </xf>
    <xf numFmtId="0" fontId="5" fillId="0" borderId="0" xfId="0" applyFont="1" applyAlignment="1">
      <alignment shrinkToFit="1"/>
    </xf>
    <xf numFmtId="164" fontId="4" fillId="0" borderId="0" xfId="1" applyNumberFormat="1" applyFont="1" applyFill="1" applyAlignment="1">
      <alignment shrinkToFit="1"/>
    </xf>
    <xf numFmtId="0" fontId="9" fillId="0" borderId="0" xfId="0" applyFont="1" applyAlignment="1">
      <alignment shrinkToFit="1"/>
    </xf>
    <xf numFmtId="0" fontId="9" fillId="0" borderId="0" xfId="0" applyFont="1"/>
    <xf numFmtId="0" fontId="10" fillId="0" borderId="0" xfId="0" applyFont="1" applyAlignment="1">
      <alignment horizontal="center"/>
    </xf>
    <xf numFmtId="0" fontId="10" fillId="0" borderId="1" xfId="0" applyFont="1" applyBorder="1" applyAlignment="1">
      <alignment horizontal="center"/>
    </xf>
    <xf numFmtId="0" fontId="10" fillId="0" borderId="0" xfId="0" applyFont="1" applyAlignment="1">
      <alignment horizontal="left"/>
    </xf>
    <xf numFmtId="0" fontId="10" fillId="0" borderId="0" xfId="0" applyFont="1" applyAlignment="1">
      <alignment horizontal="right"/>
    </xf>
    <xf numFmtId="3" fontId="4" fillId="0" borderId="0" xfId="0" applyNumberFormat="1" applyFont="1"/>
    <xf numFmtId="164" fontId="10" fillId="0" borderId="0" xfId="1" applyNumberFormat="1" applyFont="1" applyFill="1" applyAlignment="1">
      <alignment shrinkToFit="1"/>
    </xf>
    <xf numFmtId="0" fontId="10" fillId="0" borderId="0" xfId="0" applyFont="1" applyAlignment="1">
      <alignment shrinkToFit="1"/>
    </xf>
    <xf numFmtId="0" fontId="10" fillId="0" borderId="0" xfId="0" applyFont="1"/>
    <xf numFmtId="0" fontId="4" fillId="0" borderId="0" xfId="0" applyFont="1" applyAlignment="1">
      <alignment horizontal="right" shrinkToFit="1"/>
    </xf>
    <xf numFmtId="0" fontId="11" fillId="0" borderId="0" xfId="0" applyFont="1"/>
    <xf numFmtId="0" fontId="2" fillId="0" borderId="0" xfId="0" applyFont="1" applyAlignment="1">
      <alignment horizontal="right"/>
    </xf>
    <xf numFmtId="0" fontId="12" fillId="4" borderId="0" xfId="0" applyFont="1" applyFill="1" applyAlignment="1">
      <alignment horizontal="center" shrinkToFit="1"/>
    </xf>
    <xf numFmtId="0" fontId="13" fillId="4" borderId="0" xfId="0" applyFont="1" applyFill="1" applyAlignment="1">
      <alignment shrinkToFit="1"/>
    </xf>
    <xf numFmtId="0" fontId="14" fillId="4" borderId="0" xfId="0" applyFont="1" applyFill="1" applyAlignment="1">
      <alignment horizontal="center" shrinkToFit="1"/>
    </xf>
    <xf numFmtId="0" fontId="15" fillId="3" borderId="0" xfId="0" applyFont="1" applyFill="1" applyAlignment="1">
      <alignment horizontal="center" shrinkToFit="1"/>
    </xf>
    <xf numFmtId="2" fontId="15" fillId="3" borderId="0" xfId="0" applyNumberFormat="1" applyFont="1" applyFill="1" applyAlignment="1">
      <alignment horizontal="center" shrinkToFit="1"/>
    </xf>
    <xf numFmtId="0" fontId="12" fillId="4" borderId="0" xfId="0" applyFont="1" applyFill="1" applyAlignment="1">
      <alignment shrinkToFit="1"/>
    </xf>
    <xf numFmtId="2" fontId="12" fillId="4" borderId="0" xfId="0" applyNumberFormat="1" applyFont="1" applyFill="1" applyAlignment="1">
      <alignment horizontal="center" shrinkToFit="1"/>
    </xf>
    <xf numFmtId="0" fontId="13" fillId="4" borderId="0" xfId="0" applyFont="1" applyFill="1" applyAlignment="1">
      <alignment horizontal="center" shrinkToFit="1"/>
    </xf>
    <xf numFmtId="0" fontId="16" fillId="2" borderId="0" xfId="0" applyFont="1" applyFill="1" applyAlignment="1">
      <alignment horizontal="center" shrinkToFit="1"/>
    </xf>
    <xf numFmtId="2" fontId="2" fillId="0" borderId="0" xfId="0" applyNumberFormat="1" applyFont="1"/>
    <xf numFmtId="165" fontId="2" fillId="0" borderId="0" xfId="0" applyNumberFormat="1" applyFont="1"/>
    <xf numFmtId="0" fontId="18" fillId="0" borderId="0" xfId="0" applyFont="1"/>
    <xf numFmtId="0" fontId="4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shrinkToFit="1"/>
    </xf>
    <xf numFmtId="0" fontId="19" fillId="5" borderId="0" xfId="0" applyFont="1" applyFill="1" applyAlignment="1">
      <alignment horizontal="center" shrinkToFit="1"/>
    </xf>
    <xf numFmtId="165" fontId="18" fillId="4" borderId="0" xfId="0" applyNumberFormat="1" applyFont="1" applyFill="1" applyAlignment="1">
      <alignment horizontal="center" shrinkToFit="1"/>
    </xf>
    <xf numFmtId="166" fontId="18" fillId="4" borderId="0" xfId="1" applyNumberFormat="1" applyFont="1" applyFill="1" applyAlignment="1">
      <alignment horizontal="center" shrinkToFit="1"/>
    </xf>
    <xf numFmtId="43" fontId="20" fillId="4" borderId="0" xfId="1" applyFont="1" applyFill="1" applyAlignment="1">
      <alignment horizontal="center" shrinkToFit="1"/>
    </xf>
    <xf numFmtId="0" fontId="4" fillId="0" borderId="0" xfId="0" applyFont="1" applyAlignment="1">
      <alignment horizontal="center"/>
    </xf>
    <xf numFmtId="0" fontId="17" fillId="4" borderId="0" xfId="0" applyFont="1" applyFill="1" applyAlignment="1">
      <alignment horizontal="center" shrinkToFit="1"/>
    </xf>
    <xf numFmtId="0" fontId="19" fillId="5" borderId="1" xfId="0" applyFont="1" applyFill="1" applyBorder="1" applyAlignment="1">
      <alignment horizontal="center" shrinkToFit="1"/>
    </xf>
    <xf numFmtId="0" fontId="19" fillId="5" borderId="0" xfId="0" applyFont="1" applyFill="1" applyAlignment="1">
      <alignment horizontal="center" vertical="center" shrinkToFit="1"/>
    </xf>
    <xf numFmtId="0" fontId="14" fillId="5" borderId="0" xfId="0" applyFont="1" applyFill="1" applyAlignment="1">
      <alignment horizontal="center" vertical="center" shrinkToFit="1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right"/>
    </xf>
    <xf numFmtId="0" fontId="4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10" fillId="0" borderId="0" xfId="0" applyFont="1" applyAlignment="1">
      <alignment horizontal="center"/>
    </xf>
    <xf numFmtId="0" fontId="4" fillId="0" borderId="0" xfId="0" applyFont="1" applyAlignment="1">
      <alignment shrinkToFit="1"/>
    </xf>
  </cellXfs>
  <cellStyles count="3">
    <cellStyle name="จุลภาค" xfId="1" builtinId="3"/>
    <cellStyle name="ปกติ" xfId="0" builtinId="0"/>
    <cellStyle name="ปกติ 2" xfId="2" xr:uid="{F5E6731F-F934-43C5-8584-978F882E2B46}"/>
  </cellStyles>
  <dxfs count="0"/>
  <tableStyles count="0" defaultTableStyle="TableStyleMedium2" defaultPivotStyle="PivotStyleLight16"/>
  <colors>
    <mruColors>
      <color rgb="FFEBFFFF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theme" Target="theme/theme1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ธีมของ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AEED32-C023-4283-A44D-6A7BA518840B}">
  <dimension ref="A1:M30"/>
  <sheetViews>
    <sheetView tabSelected="1" zoomScale="93" zoomScaleNormal="100" workbookViewId="0">
      <selection activeCell="D4" sqref="D4"/>
    </sheetView>
  </sheetViews>
  <sheetFormatPr defaultColWidth="8.88671875" defaultRowHeight="16.8"/>
  <cols>
    <col min="1" max="1" width="24.5546875" style="45" customWidth="1"/>
    <col min="2" max="2" width="12.44140625" style="39" customWidth="1"/>
    <col min="3" max="3" width="15.5546875" style="39" customWidth="1"/>
    <col min="4" max="4" width="17.33203125" style="39" customWidth="1"/>
    <col min="5" max="5" width="13.44140625" style="39" customWidth="1"/>
    <col min="6" max="6" width="12.88671875" style="39" customWidth="1"/>
    <col min="7" max="7" width="15.21875" style="39" customWidth="1"/>
    <col min="8" max="8" width="15" style="39" customWidth="1"/>
    <col min="9" max="9" width="13.44140625" style="39" customWidth="1"/>
    <col min="10" max="10" width="16.21875" style="39" customWidth="1"/>
    <col min="11" max="11" width="14.77734375" style="39" customWidth="1"/>
    <col min="12" max="12" width="16.5546875" style="39" customWidth="1"/>
    <col min="13" max="13" width="21.5546875" style="45" customWidth="1"/>
    <col min="14" max="16384" width="8.88671875" style="39"/>
  </cols>
  <sheetData>
    <row r="1" spans="1:13" ht="27">
      <c r="A1" s="58" t="s">
        <v>157</v>
      </c>
      <c r="B1" s="58"/>
      <c r="C1" s="58"/>
      <c r="D1" s="58"/>
      <c r="E1" s="58"/>
      <c r="F1" s="58"/>
      <c r="G1" s="58"/>
      <c r="H1" s="58"/>
      <c r="I1" s="58"/>
      <c r="J1" s="58"/>
      <c r="K1" s="58"/>
      <c r="L1" s="58"/>
      <c r="M1" s="58"/>
    </row>
    <row r="2" spans="1:13" ht="27">
      <c r="A2" s="38"/>
      <c r="B2" s="38"/>
      <c r="C2" s="40" t="s">
        <v>97</v>
      </c>
      <c r="D2" s="41">
        <v>1500</v>
      </c>
      <c r="E2" s="40" t="s">
        <v>98</v>
      </c>
      <c r="F2" s="38"/>
      <c r="G2" s="38"/>
      <c r="H2" s="40" t="s">
        <v>99</v>
      </c>
      <c r="I2" s="42">
        <v>42.2</v>
      </c>
      <c r="J2" s="38" t="s">
        <v>153</v>
      </c>
      <c r="K2" s="38"/>
      <c r="L2" s="43"/>
      <c r="M2" s="38"/>
    </row>
    <row r="3" spans="1:13" ht="27">
      <c r="A3" s="38"/>
      <c r="B3" s="38"/>
      <c r="C3" s="40" t="s">
        <v>100</v>
      </c>
      <c r="D3" s="41">
        <v>1</v>
      </c>
      <c r="E3" s="40" t="s">
        <v>101</v>
      </c>
      <c r="F3" s="38"/>
      <c r="G3" s="38"/>
      <c r="H3" s="40" t="s">
        <v>102</v>
      </c>
      <c r="I3" s="42">
        <v>44.9</v>
      </c>
      <c r="J3" s="38" t="s">
        <v>153</v>
      </c>
      <c r="K3" s="38"/>
      <c r="L3" s="43"/>
      <c r="M3" s="38"/>
    </row>
    <row r="4" spans="1:13" ht="27">
      <c r="A4" s="38"/>
      <c r="B4" s="38"/>
      <c r="C4" s="40" t="s">
        <v>114</v>
      </c>
      <c r="D4" s="46">
        <f>D2*12*D3</f>
        <v>18000</v>
      </c>
      <c r="E4" s="40" t="s">
        <v>115</v>
      </c>
      <c r="F4" s="38"/>
      <c r="G4" s="38"/>
      <c r="H4" s="40" t="s">
        <v>103</v>
      </c>
      <c r="I4" s="42">
        <v>4.2</v>
      </c>
      <c r="J4" s="38" t="s">
        <v>154</v>
      </c>
      <c r="K4" s="38"/>
      <c r="L4" s="43"/>
      <c r="M4" s="38"/>
    </row>
    <row r="5" spans="1:13" ht="11.4" customHeight="1">
      <c r="A5" s="38"/>
      <c r="B5" s="38"/>
      <c r="C5" s="40"/>
      <c r="D5" s="40"/>
      <c r="E5" s="40"/>
      <c r="F5" s="40"/>
      <c r="G5" s="40"/>
      <c r="H5" s="40"/>
      <c r="I5" s="40"/>
      <c r="J5" s="38"/>
      <c r="K5" s="38"/>
      <c r="L5" s="43"/>
      <c r="M5" s="38"/>
    </row>
    <row r="6" spans="1:13" ht="27">
      <c r="A6" s="61" t="s">
        <v>104</v>
      </c>
      <c r="B6" s="60" t="s">
        <v>105</v>
      </c>
      <c r="C6" s="60" t="s">
        <v>155</v>
      </c>
      <c r="D6" s="60" t="s">
        <v>106</v>
      </c>
      <c r="E6" s="59" t="s">
        <v>112</v>
      </c>
      <c r="F6" s="59"/>
      <c r="G6" s="59"/>
      <c r="H6" s="59"/>
      <c r="I6" s="59"/>
      <c r="J6" s="59"/>
      <c r="K6" s="59"/>
      <c r="L6" s="59"/>
      <c r="M6" s="59"/>
    </row>
    <row r="7" spans="1:13" ht="27">
      <c r="A7" s="61"/>
      <c r="B7" s="60"/>
      <c r="C7" s="60"/>
      <c r="D7" s="60"/>
      <c r="E7" s="53" t="s">
        <v>107</v>
      </c>
      <c r="F7" s="53" t="s">
        <v>108</v>
      </c>
      <c r="G7" s="53" t="s">
        <v>109</v>
      </c>
      <c r="H7" s="53" t="s">
        <v>110</v>
      </c>
      <c r="I7" s="53" t="s">
        <v>111</v>
      </c>
      <c r="J7" s="53" t="s">
        <v>116</v>
      </c>
      <c r="K7" s="53" t="s">
        <v>129</v>
      </c>
      <c r="L7" s="53" t="s">
        <v>113</v>
      </c>
      <c r="M7" s="53" t="s">
        <v>156</v>
      </c>
    </row>
    <row r="8" spans="1:13" ht="24.6">
      <c r="A8" s="38" t="s">
        <v>126</v>
      </c>
      <c r="B8" s="54">
        <f>ค่าพลังงาน!B7</f>
        <v>14.5</v>
      </c>
      <c r="C8" s="55">
        <f>ราคาเริ่มต้น!B5</f>
        <v>1475000</v>
      </c>
      <c r="D8" s="55">
        <f>IF($D$3=1,ราคาเริ่มต้น!D5,IF($D$3=2,ราคาเริ่มต้น!E5,IF($D$3=3,ราคาเริ่มต้น!F5,IF($D$3=4,ราคาเริ่มต้น!G5,IF($D$3=5,ราคาเริ่มต้น!H5,IF($D$3=6,ราคาเริ่มต้น!I5,IF($D$3=7,ราคาเริ่มต้น!J5,IF($D$3=8,ราคาเริ่มต้น!K5,IF($D$3=9,ราคาเริ่มต้น!L5,IF($D$3=10,ราคาเริ่มต้น!M5,IF($D$3=11,ราคาเริ่มต้น!N5,IF($D$3=12,ราคาเริ่มต้น!O5,IF($D$3=13,ราคาเริ่มต้น!P5,IF($D$3=14,ราคาเริ่มต้น!Q5,IF($D$3=15,ราคาเริ่มต้น!R5,IF($D$3=16,ราคาเริ่มต้น!S5,IF($D$3=17,ราคาเริ่มต้น!T5,IF($D$3=18,ราคาเริ่มต้น!U5,IF($D$3=19,ราคาเริ่มต้น!V5,IF($D$3=20,ราคาเริ่มต้น!W5))))))))))))))))))))</f>
        <v>1209500</v>
      </c>
      <c r="E8" s="55">
        <f>IF($D$3=1,ภาษีประจำปี!C5,IF($D$3=2,ภาษีประจำปี!E5,IF($D$3=3,ภาษีประจำปี!F5,IF($D$3=4,ภาษีประจำปี!I5,IF($D$3=5,ภาษีประจำปี!K5,IF($D$3=6,ภาษีประจำปี!M5,IF($D$3=7,ภาษีประจำปี!O5,IF($D$3=8,ภาษีประจำปี!Q5,IF($D$3=9,ภาษีประจำปี!S5,IF($D$3=10,ภาษีประจำปี!U5,IF($D$3=11,ภาษีประจำปี!W5,IF($D$3=12,ภาษีประจำปี!Y5,IF($D$3=13,ภาษีประจำปี!AA5,IF($D$3=14,ภาษีประจำปี!AC5,IF($D$3=15,ภาษีประจำปี!AE5,IF($D$3=16,ภาษีประจำปี!AG5,IF($D$3=17,ภาษีประจำปี!AI5,IF($D$3=18,ภาษีประจำปี!AK5,IF($D$3=19,ภาษีประจำปี!AM5,IF($D$3=20,ภาษีประจำปี!AO5))))))))))))))))))))</f>
        <v>3474</v>
      </c>
      <c r="F8" s="55">
        <f>IF($D$3=1,ประกันภัยบังคับ!B5,IF($D$3=2,ประกันภัยบังคับ!C5,IF($D$3=3,ประกันภัยบังคับ!D5,IF($D$3=4,ประกันภัยบังคับ!E5,IF($D$3=5,ประกันภัยบังคับ!F5,IF($D$3=6,ประกันภัยบังคับ!G5,IF($D$3=7,ประกันภัยบังคับ!H5,IF($D$3=8,ประกันภัยบังคับ!I5,IF($D$3=9,ประกันภัยบังคับ!J5,IF($D$3=10,ประกันภัยบังคับ!K5,IF($D$3=11,ประกันภัยบังคับ!L5,IF($D$3=12,ประกันภัยบังคับ!M5,IF($D$3=13,ประกันภัยบังคับ!N5,IF($D$3=14,ประกันภัยบังคับ!O5,IF($D$3=15,ประกันภัยบังคับ!P5,IF($D$3=16,ประกันภัยบังคับ!Q5,IF($D$3=17,ประกันภัยบังคับ!R5,IF($D$3=18,ประกันภัยบังคับ!S5,IF($D$3=19,ประกันภัยบังคับ!T5,IF($D$3=20,ประกันภัยบังคับ!U5))))))))))))))))))))</f>
        <v>645.21</v>
      </c>
      <c r="G8" s="55">
        <f>IF($D$3=1,ประกันภัยชั้น1!C5,IF($D$3=2,ประกันภัยชั้น1!E5,IF($D$3=3,ประกันภัยชั้น1!G5,IF($D$3=4,ประกันภัยชั้น1!I5,IF($D$3=5,ประกันภัยชั้น1!K5,IF($D$3=6,ประกันภัยชั้น1!M5,IF($D$3=7,ประกันภัยชั้น1!O5,IF($D$3=8,ประกันภัยชั้น1!Q5,IF($D$3=9,ประกันภัยชั้น1!S5,IF($D$3=10,ประกันภัยชั้น1!U5,IF($D$3=11,ประกันภัยชั้น1!W5,IF($D$3=12,ประกันภัยชั้น1!Y5,IF($D$3=13,ประกันภัยชั้น1!AA5,IF($D$3=14,ประกันภัยชั้น1!AC5,IF($D$3=15,ประกันภัยชั้น1!AE5,IF($D$3=16,ประกันภัยชั้น1!AG5,IF($D$3=17,ประกันภัยชั้น1!AI5,IF($D$3=18,ประกันภัยชั้น1!AK5,IF($D$3=19,ประกันภัยชั้น1!AM5,IF($D$3=20,ประกันภัยชั้น1!AO5))))))))))))))))))))</f>
        <v>25000</v>
      </c>
      <c r="H8" s="55">
        <f>IF(AND($D$2&lt;1667,$D$3=1),'ยางรถ (ปี)'!B7,IF(AND($D$2&lt;1667,$D$3=2),'ยางรถ (ปี)'!C7,IF(AND($D$2&lt;1667,$D$3=3),'ยางรถ (ปี)'!D7,IF(AND($D$2&lt;1667,$D$3=4),'ยางรถ (ปี)'!D7,IF(AND($D$2&lt;1667,$D$3=5),'ยางรถ (ปี)'!D7,IF(AND($D$2&lt;1667,$D$3=6),'ยางรถ (ปี)'!G7,IF(AND($D$2&lt;1667,$D$3=7),'ยางรถ (ปี)'!G7,IF(AND($D$2&lt;1667,$D$3=8),'ยางรถ (ปี)'!G7,IF(AND($D$2&lt;1667,$D$3=9),'ยางรถ (ปี)'!J7,IF(AND($D$2&lt;1667,$D$3=10),'ยางรถ (ปี)'!J7,IF(AND($D$2&lt;1667,$D$3=11),'ยางรถ (ปี)'!J7,IF(AND($D$2&lt;1667,$D$3=12),'ยางรถ (ปี)'!M7,IF(AND($D$2&lt;1667,$D$3=13),'ยางรถ (ปี)'!M7,IF(AND($D$2&lt;1667,$D$3=14),'ยางรถ (ปี)'!M7,IF(AND($D$2&lt;1667,$D$3=15),'ยางรถ (ปี)'!P7,IF(AND($D$2&lt;1667,$D$3=16),'ยางรถ (ปี)'!P7,IF(AND($D$2&lt;1667,$D$3=17),'ยางรถ (ปี)'!P7,IF(AND($D$2&lt;1667,$D$3=18),'ยางรถ (ปี)'!S7,IF(AND($D$2&lt;1667,$D$3=19),'ยางรถ (ปี)'!S7,IF(AND($D$2&lt;1667,$D$3=20),'ยางรถ (ปี)'!S7,IF(AND($D$2&lt;1667,$D$3=21),'ยางรถ (ปี)'!V7,IF(AND($D$2&gt;=1667,$D$4&lt;50000),0,IF(AND($D$2&gt;=1667, $D$4&lt;100000),'ยางรถ(ระยะทาง)'!G5,IF(AND($D$2&gt;=1667, $D$4&lt;150000),'ยางรถ(ระยะทาง)'!S6,IF(AND($D$2&gt;=1667, $D$4&lt;200000),'ยางรถ(ระยะทาง)'!S5,IF(AND($D$2&gt;=1667, $D$4&lt;250000),'ยางรถ(ระยะทาง)'!Y5,IF(AND($D$2&gt;=1667, $D$4&lt;300000),'ยางรถ(ระยะทาง)'!AF5,IF(AND($D$2&gt;=1667, $D$4&lt;350000),'ยางรถ(ระยะทาง)'!AL5,IF(AND($D$2&gt;=1667, $D$4&lt;400000),'ยางรถ(ระยะทาง)'!AR5,IF(AND($D$2&gt;=1667, $D$4&lt;450000),'ยางรถ(ระยะทาง)'!AX5,IF(AND($D$2&gt;=1667, $D$4&lt;500000),'ยางรถ(ระยะทาง)'!BD5,IF(AND($D$2&gt;=1667, $D$4&lt;550000),'ยางรถ(ระยะทาง)'!BJ5,IF(AND($D$2&gt;=1667, $D$4&lt;600000),'ยางรถ(ระยะทาง)'!BL5,IF(AND($D$2&gt;=1667, $D$4&lt;650000),'ยางรถ(ระยะทาง)'!BN5,IF(AND($D$2&gt;=1667, $D$4&lt;700000),'ยางรถ(ระยะทาง)'!BP5,IF(AND($D$2&gt;=1667, $D$4&lt;750000),'ยางรถ(ระยะทาง)'!BR5,IF(AND($D$2&gt;=1667, $D$4&lt;800000),'ยางรถ(ระยะทาง)'!BV5)))))))))))))))))))))))))))))))))))))</f>
        <v>0</v>
      </c>
      <c r="I8" s="55">
        <f>IF(AND($D$2&lt;1667,$D$3=1),'แบตเตอร์รี่ (ปี)'!B5,IF(AND($D$2&lt;1667,$D$3=2),'แบตเตอร์รี่ (ปี)'!C5,IF(AND($D$2&lt;1667,$D$3=3),'แบตเตอร์รี่ (ปี)'!C5,IF(AND($D$2&lt;1667,$D$3=4),'แบตเตอร์รี่ (ปี)'!E5,IF(AND($D$2&lt;1667,$D$3=5),'แบตเตอร์รี่ (ปี)'!E5,IF(AND($D$2&lt;1667,$D$3=6),'แบตเตอร์รี่ (ปี)'!G5,IF(AND($D$2&lt;1667,$D$3=7),'แบตเตอร์รี่ (ปี)'!G5,IF(AND($D$2&lt;1667,$D$3=8),'แบตเตอร์รี่ (ปี)'!I5,IF(AND($D$2&lt;1667,$D$3=9),'แบตเตอร์รี่ (ปี)'!I5,IF(AND($D$2&lt;1667,$D$3=10),'แบตเตอร์รี่ (ปี)'!K5,IF(AND($D$2&lt;1667,$D$3=11),'แบตเตอร์รี่ (ปี)'!K5,IF(AND($D$2&lt;1667,$D$3=12),'แบตเตอร์รี่ (ปี)'!M5,IF(AND($D$2&lt;1667,$D$3=13),'แบตเตอร์รี่ (ปี)'!M5,IF(AND($D$2&lt;1667,$D$3=14),'แบตเตอร์รี่ (ปี)'!O5,IF(AND($D$2&lt;1667,$D$3=15),'แบตเตอร์รี่ (ปี)'!O5,IF(AND($D$2&lt;1667,$D$3=16),'แบตเตอร์รี่ (ปี)'!Q5,IF(AND($D$2&lt;1667,$D$3=17),'แบตเตอร์รี่ (ปี)'!Q5,IF(AND($D$2&lt;1667,$D$3=18),'แบตเตอร์รี่ (ปี)'!S5,IF(AND($D$2&lt;1667,$D$3=19),'แบตเตอร์รี่ (ปี)'!S5,IF(AND($D$2&lt;1667,$D$3=20),'แบตเตอร์รี่ (ปี)'!U5,IF(AND($D$2&gt;=1667,$D$4&lt;40000),0,IF(AND($D$2&gt;=1667,$D$4&lt;80000),'แบตเตอรี(ระยะทาง) '!E5,IF(AND($D$2&gt;=1667,$D$4&lt;120000),'แบตเตอรี(ระยะทาง) '!I5,IF(AND($D$2&gt;=1667,$D$4&lt;160000),'แบตเตอรี(ระยะทาง) '!M5,IF(AND($D$2&gt;=1667,$D$4&lt;200000),'แบตเตอรี(ระยะทาง) '!Q5,IF(AND($D$2&gt;=1667,$D$4&lt;240000),'แบตเตอรี(ระยะทาง) '!E5,IF(AND($D$2&gt;=1667,$D$4&lt;280000),'แบตเตอรี(ระยะทาง) '!Y5,IF(AND($D$2&gt;=1667,$D$4&lt;320000),'แบตเตอรี(ระยะทาง) '!AC5,IF(AND($D$2&gt;=1667,$D$4&lt;360000),'แบตเตอรี(ระยะทาง) '!AG5,IF(AND($D$2&gt;=1667,$D$4&lt;400000),'แบตเตอรี(ระยะทาง) '!AK5,IF(AND($D$2&gt;=1667,$D$4&lt;440000),'แบตเตอรี(ระยะทาง) '!AO5,IF(AND($D$2&gt;=1667,$D$4&lt;480000),'แบตเตอรี(ระยะทาง) '!AS5,IF(AND($D$2&gt;=1667,$D$4&lt;50000),'แบตเตอรี(ระยะทาง) '!AW5,)))))))))))))))))))))))))))))))))</f>
        <v>0</v>
      </c>
      <c r="J8" s="55">
        <f>IF(AND($D$2&lt;1667,$D$3=1),'แบตเตอรีไฟฟ้า (ปี)'!B5,IF(AND($D$2&lt;1667,$D$3=2),'แบตเตอรีไฟฟ้า (ปี)'!C5,IF(AND($D$2&lt;1667,$D$3=3),'แบตเตอรีไฟฟ้า (ปี)'!D5,IF(AND($D$2&lt;1667,$D$3=4),'แบตเตอรีไฟฟ้า (ปี)'!E5,IF(AND($D$2&lt;1667,$D$3=5),'แบตเตอรีไฟฟ้า (ปี)'!F5,IF(AND($D$2&lt;1667,$D$3=6),'แบตเตอรีไฟฟ้า (ปี)'!G5,IF(AND($D$2&lt;1667,$D$3=7),'แบตเตอรีไฟฟ้า (ปี)'!H5,IF(AND($D$2&lt;1667,$D$3=8),'แบตเตอรีไฟฟ้า (ปี)'!I5,IF(AND($D$2&lt;1667,$D$3=9),'แบตเตอรีไฟฟ้า (ปี)'!I5,IF(AND($D$2&lt;1667,$D$3=10),'แบตเตอรีไฟฟ้า (ปี)'!K5,IF(AND($D$2&lt;1667,$D$3=11),'แบตเตอรีไฟฟ้า (ปี)'!I5,IF(AND($D$2&lt;1667,$D$3=12),'แบตเตอรีไฟฟ้า (ปี)'!I5,IF(AND($D$2&lt;1667,$D$3=13),'แบตเตอรีไฟฟ้า (ปี)'!I5,IF(AND($D$2&lt;1667,$D$3=14),'แบตเตอรีไฟฟ้า (ปี)'!I5,IF(AND($D$2&lt;1667,$D$3=15),'แบตเตอรีไฟฟ้า (ปี)'!I5,IF(AND($D$2&lt;1667,$D$3=16),'แบตเตอรีไฟฟ้า (ปี)'!Q5,IF(AND($D$2&lt;1667,$D$3=17),'แบตเตอรีไฟฟ้า (ปี)'!Q5,IF(AND($D$2&lt;1667,$D$3=18),'แบตเตอรีไฟฟ้า (ปี)'!Q5,IF(AND($D$2&lt;1667,$D$3=19),'แบตเตอรีไฟฟ้า (ปี)'!Q5,IF(AND($D$2&lt;1667,$D$3=20),'แบตเตอรีไฟฟ้า (ปี)'!Q5,IF(AND($D$2&gt;=1667,$D$4&lt;170000),0,IF(AND($D$2&gt;=1667,$D$4&lt;340000),'แบตเตอรีรถไฟฟ้า(ระยะทาง)'!R5,IF(AND($D$2&gt;=1667,$D$4&lt;510000),'แบตเตอรีรถไฟฟ้า(ระยะทาง)'!AI5,)))))))))))))))))))))))</f>
        <v>0</v>
      </c>
      <c r="K8" s="55">
        <f>IF(AND($D$2&lt;1667,$D$3=1),'ค่าบำรุงรักษา(ปี)'!F5,IF(AND($D$2&lt;1667,$D$3=2),'ค่าบำรุงรักษา(ปี)'!J5,IF(AND($D$2&lt;1667,$D$3=3),'ค่าบำรุงรักษา(ปี)'!N5,IF(AND($D$2&lt;1667,$D$3=4),'ค่าบำรุงรักษา(ปี)'!R5,IF(AND($D$2&lt;1667,$D$3=5),'ค่าบำรุงรักษา(ปี)'!V5,IF(AND($D$2&lt;1667,$D$3=6),'ค่าบำรุงรักษา(ปี)'!Z5,IF(AND($D$2&lt;1667,$D$3=7),'ค่าบำรุงรักษา(ปี)'!AD5,IF(AND($D$2&lt;1667,$D$3=8),'ค่าบำรุงรักษา(ปี)'!AH5,IF(AND($D$2&lt;1667,$D$3=9),'ค่าบำรุงรักษา(ปี)'!AL5,IF(AND($D$2&lt;1667,$D$3=10),'ค่าบำรุงรักษา(ปี)'!AP5,IF(AND($D$2&lt;1667,$D$3=11),'ค่าบำรุงรักษา(ปี)'!AT5,IF(AND($D$2&lt;1667,$D$3=12),'ค่าบำรุงรักษา(ปี)'!AX5,IF(AND($D$2&lt;1667,$D$3=13),'ค่าบำรุงรักษา(ปี)'!BB5,IF(AND($D$2&lt;1667,$D$3=14),'ค่าบำรุงรักษา(ปี)'!BF5,IF(AND($D$2&lt;1667,$D$3=15),'ค่าบำรุงรักษา(ปี)'!BJ5,IF(AND($D$2&lt;1667,$D$3=16),'ค่าบำรุงรักษา(ปี)'!BN5,IF(AND($D$2&lt;1667,$D$3=17),'ค่าบำรุงรักษา(ปี)'!BR5,IF(AND($D$2&lt;1667,$D$3=18),'ค่าบำรุงรักษา(ปี)'!BV5,IF(AND($D$2&lt;1667,$D$3=19),'ค่าบำรุงรักษา(ปี)'!BZ5,IF(AND($D$2&lt;1667,$D$3=20),'ค่าบำรุงรักษา(ปี)'!CD5,IF(AND($D$2&gt;=1667,$D$4&lt;30000),'ค่าบำรุงรักษา (ระยะทาง)'!G5,IF(AND($D$2&gt;=1667,$D$4&lt;40000),'ค่าบำรุงรักษา (ระยะทาง)'!I5,IF(AND($D$2&gt;=1667,$D$4&lt;50000),'ค่าบำรุงรักษา (ระยะทาง)'!K5,IF(AND($D$2&gt;=1667,$D$4&lt;60000),'ค่าบำรุงรักษา (ระยะทาง)'!M5,IF(AND($D$2&gt;=1667,$D$4&lt;70000),'ค่าบำรุงรักษา (ระยะทาง)'!O5,IF(AND($D$2&gt;=1667,$D$4&lt;80000),'ค่าบำรุงรักษา (ระยะทาง)'!Q5,IF(AND($D$2&gt;=1667,$D$4&lt;90000),'ค่าบำรุงรักษา (ระยะทาง)'!S5,IF(AND($D$2&gt;=1667,$D$4&lt;100000),'ค่าบำรุงรักษา (ระยะทาง)'!U5,IF(AND($D$2&gt;=1667,$D$4&lt;110000),'ค่าบำรุงรักษา (ระยะทาง)'!W5,IF(AND($D$2&gt;=1667,$D$4&lt;120000),'ค่าบำรุงรักษา (ระยะทาง)'!Y5,IF(AND($D$2&gt;=1667,$D$4&lt;130000),'ค่าบำรุงรักษา (ระยะทาง)'!AA5,IF(AND($D$2&gt;=1667,$D$4&lt;140000),'ค่าบำรุงรักษา (ระยะทาง)'!AC5,IF(AND($D$2&gt;=1667,$D$4&lt;150000),'ค่าบำรุงรักษา (ระยะทาง)'!AE5,IF(AND($D$2&gt;=1667,$D$4&lt;160000),'ค่าบำรุงรักษา (ระยะทาง)'!AG5,IF(AND($D$2&gt;=1667,$D$4&lt;170000),'ค่าบำรุงรักษา (ระยะทาง)'!AI5,IF(AND($D$2&gt;=1667,$D$4&lt;180000),'ค่าบำรุงรักษา (ระยะทาง)'!AK5,IF(AND($D$2&gt;=1667,$D$4&lt;190000),'ค่าบำรุงรักษา (ระยะทาง)'!AM5,IF(AND($D$2&gt;=1667,$D$4&lt;200000),'ค่าบำรุงรักษา (ระยะทาง)'!AO5,IF(AND($D$2&gt;=1667,$D$4&lt;210000),'ค่าบำรุงรักษา (ระยะทาง)'!AQ5,IF(AND($D$2&gt;=1667,$D$4&lt;220000),'ค่าบำรุงรักษา (ระยะทาง)'!AS5,IF(AND($D$2&gt;=1667,$D$4&lt;220000),'ค่าบำรุงรักษา (ระยะทาง)'!AU5,IF(AND($D$2&gt;=1667,$D$4&lt;240000),'ค่าบำรุงรักษา (ระยะทาง)'!AW5,IF(AND($D$2&gt;=1667,$D$4&lt;250000),'ค่าบำรุงรักษา (ระยะทาง)'!AY5,IF(AND($D$2&gt;=1667,$D$4&lt;260000),'ค่าบำรุงรักษา (ระยะทาง)'!BA5,IF(AND($D$2&gt;=1667,$D$4&lt;270000),'ค่าบำรุงรักษา (ระยะทาง)'!BC5,IF(AND($D$2&gt;=1667,$D$4&lt;280000),'ค่าบำรุงรักษา (ระยะทาง)'!BE5,IF(AND($D$2&gt;=1667,$D$4&lt;290000),'ค่าบำรุงรักษา (ระยะทาง)'!BG5,IF(AND($D$2&gt;=1667,$D$4&lt;300000),'ค่าบำรุงรักษา (ระยะทาง)'!BH3,IF(AND($D$2&gt;=1667,$D$4&lt;310000),'ค่าบำรุงรักษา (ระยะทาง)'!BK5,IF(AND($D$2&gt;=1667,$D$4&lt;320000),'ค่าบำรุงรักษา (ระยะทาง)'!BM5,IF(AND($D$2&gt;=1667,$D$4&lt;330000),'ค่าบำรุงรักษา (ระยะทาง)'!BO5,IF(AND($D$2&gt;=1667,$D$4&lt;340000),'ค่าบำรุงรักษา (ระยะทาง)'!BQ5,IF(AND($D$2&gt;=1667,$D$4&lt;350000),'ค่าบำรุงรักษา (ระยะทาง)'!BS5,IF(AND($D$2&gt;=1667,$D$4&lt;370000),'ค่าบำรุงรักษา (ระยะทาง)'!BW5,IF(AND($D$2&gt;=1667,$D$4&lt;380000),'ค่าบำรุงรักษา (ระยะทาง)'!BY5,IF(AND($D$2&gt;=1667,$D$4&lt;390000),'ค่าบำรุงรักษา (ระยะทาง)'!CA5,IF(AND($D$2&gt;=1667,$D$4&lt;400000),'ค่าบำรุงรักษา (ระยะทาง)'!CC5,IF(AND($D$2&gt;=1667,$D$4&lt;430000),'ค่าบำรุงรักษา (ระยะทาง)'!CI5,IF(AND($D$2&gt;=1667,$D$4&lt;440000),'ค่าบำรุงรักษา (ระยะทาง)'!CK5,IF(AND($D$2&gt;=1667,$D$4&lt;450000),'ค่าบำรุงรักษา (ระยะทาง)'!CM5,IF(AND($D$2&gt;=1667,$D$4&lt;460000),'ค่าบำรุงรักษา (ระยะทาง)'!CO5,IF(AND($D$2&gt;=1667,$D$4&lt;470000),'ค่าบำรุงรักษา (ระยะทาง)'!CQ5,IF(AND($D$2&gt;=1667,$D$4&lt;480000),'ค่าบำรุงรักษา (ระยะทาง)'!CS5,IF(AND($D$2&gt;=1667,$D$4&lt;490000),'ค่าบำรุงรักษา (ระยะทาง)'!CU5))))))))))))))))))))))))))))))))))))))))))))))))))))))))))))))))</f>
        <v>6000</v>
      </c>
      <c r="L8" s="55">
        <f>$D$4*$I$3/B8</f>
        <v>55737.931034482761</v>
      </c>
      <c r="M8" s="56">
        <f>C8+(E8+F8+G8)+(H8+I8)+J8+K8+L8</f>
        <v>1565857.1410344827</v>
      </c>
    </row>
    <row r="9" spans="1:13" ht="24.6">
      <c r="A9" s="38" t="s">
        <v>28</v>
      </c>
      <c r="B9" s="54">
        <f>ค่าพลังงาน!B8</f>
        <v>16.5</v>
      </c>
      <c r="C9" s="55">
        <f>ราคาเริ่มต้น!B6</f>
        <v>909000</v>
      </c>
      <c r="D9" s="55">
        <f>IF($D$3=1,ราคาเริ่มต้น!D6,IF($D$3=2,ราคาเริ่มต้น!E6,IF($D$3=3,ราคาเริ่มต้น!F6,IF($D$3=4,ราคาเริ่มต้น!G6,IF($D$3=5,ราคาเริ่มต้น!H6,IF($D$3=6,ราคาเริ่มต้น!I6,IF($D$3=7,ราคาเริ่มต้น!J6,IF($D$3=8,ราคาเริ่มต้น!K6,IF($D$3=9,ราคาเริ่มต้น!L6,IF($D$3=10,ราคาเริ่มต้น!M6,IF($D$3=11,ราคาเริ่มต้น!N6,IF($D$3=12,ราคาเริ่มต้น!O6,IF($D$3=13,ราคาเริ่มต้น!P6,IF($D$3=14,ราคาเริ่มต้น!Q6,IF($D$3=15,ราคาเริ่มต้น!R6,IF($D$3=16,ราคาเริ่มต้น!S6,IF($D$3=17,ราคาเริ่มต้น!T6,IF($D$3=18,ราคาเริ่มต้น!U6,IF($D$3=19,ราคาเริ่มต้น!V6,IF($D$3=20,ราคาเริ่มต้น!W6))))))))))))))))))))</f>
        <v>772650</v>
      </c>
      <c r="E9" s="55">
        <f>IF($D$3=1,ภาษีประจำปี!C6,IF($D$3=2,ภาษีประจำปี!E6,IF($D$3=3,ภาษีประจำปี!F6,IF($D$3=4,ภาษีประจำปี!I6,IF($D$3=5,ภาษีประจำปี!K6,IF($D$3=6,ภาษีประจำปี!M6,IF($D$3=7,ภาษีประจำปี!O6,IF($D$3=8,ภาษีประจำปี!Q6,IF($D$3=9,ภาษีประจำปี!S6,IF($D$3=10,ภาษีประจำปี!U6,IF($D$3=11,ภาษีประจำปี!W6,IF($D$3=12,ภาษีประจำปี!Y6,IF($D$3=13,ภาษีประจำปี!AA6,IF($D$3=14,ภาษีประจำปี!AC6,IF($D$3=15,ภาษีประจำปี!AE6,IF($D$3=16,ภาษีประจำปี!AG6,IF($D$3=17,ภาษีประจำปี!AI6,IF($D$3=18,ภาษีประจำปี!AK6,IF($D$3=19,ภาษีประจำปี!AM6,IF($D$3=20,ภาษีประจำปี!AO6))))))))))))))))))))</f>
        <v>2250</v>
      </c>
      <c r="F9" s="55">
        <f>IF($D$3=1,ประกันภัยบังคับ!B6,IF($D$3=2,ประกันภัยบังคับ!C6,IF($D$3=3,ประกันภัยบังคับ!D6,IF($D$3=4,ประกันภัยบังคับ!E6,IF($D$3=5,ประกันภัยบังคับ!F6,IF($D$3=6,ประกันภัยบังคับ!G6,IF($D$3=7,ประกันภัยบังคับ!H6,IF($D$3=8,ประกันภัยบังคับ!I6,IF($D$3=9,ประกันภัยบังคับ!J6,IF($D$3=10,ประกันภัยบังคับ!K6,IF($D$3=11,ประกันภัยบังคับ!L6,IF($D$3=12,ประกันภัยบังคับ!M6,IF($D$3=13,ประกันภัยบังคับ!N6,IF($D$3=14,ประกันภัยบังคับ!O6,IF($D$3=15,ประกันภัยบังคับ!P6,IF($D$3=16,ประกันภัยบังคับ!Q6,IF($D$3=17,ประกันภัยบังคับ!R6,IF($D$3=18,ประกันภัยบังคับ!S6,IF($D$3=19,ประกันภัยบังคับ!T6,IF($D$3=20,ประกันภัยบังคับ!U6))))))))))))))))))))</f>
        <v>645.21</v>
      </c>
      <c r="G9" s="55">
        <f>IF($D$3=1,ประกันภัยชั้น1!C6,IF($D$3=2,ประกันภัยชั้น1!E6,IF($D$3=3,ประกันภัยชั้น1!G6,IF($D$3=4,ประกันภัยชั้น1!I6,IF($D$3=5,ประกันภัยชั้น1!K6,IF($D$3=6,ประกันภัยชั้น1!M6,IF($D$3=7,ประกันภัยชั้น1!O6,IF($D$3=8,ประกันภัยชั้น1!Q6,IF($D$3=9,ประกันภัยชั้น1!S6,IF($D$3=10,ประกันภัยชั้น1!U6,IF($D$3=11,ประกันภัยชั้น1!W6,IF($D$3=12,ประกันภัยชั้น1!Y6,IF($D$3=13,ประกันภัยชั้น1!AA6,IF($D$3=14,ประกันภัยชั้น1!AC6,IF($D$3=15,ประกันภัยชั้น1!AE6,IF($D$3=16,ประกันภัยชั้น1!AG6,IF($D$3=17,ประกันภัยชั้น1!AI6,IF($D$3=18,ประกันภัยชั้น1!AK6,IF($D$3=19,ประกันภัยชั้น1!AM6,IF($D$3=20,ประกันภัยชั้น1!AO6))))))))))))))))))))</f>
        <v>22817</v>
      </c>
      <c r="H9" s="55">
        <f>IF(AND($D$2&lt;1667,$D$3=1),'ยางรถ (ปี)'!B8,IF(AND($D$2&lt;1667,$D$3=2),'ยางรถ (ปี)'!C8,IF(AND($D$2&lt;1667,$D$3=3),'ยางรถ (ปี)'!D8,IF(AND($D$2&lt;1667,$D$3=4),'ยางรถ (ปี)'!D8,IF(AND($D$2&lt;1667,$D$3=5),'ยางรถ (ปี)'!D8,IF(AND($D$2&lt;1667,$D$3=6),'ยางรถ (ปี)'!G8,IF(AND($D$2&lt;1667,$D$3=7),'ยางรถ (ปี)'!G8,IF(AND($D$2&lt;1667,$D$3=8),'ยางรถ (ปี)'!G8,IF(AND($D$2&lt;1667,$D$3=9),'ยางรถ (ปี)'!J8,IF(AND($D$2&lt;1667,$D$3=10),'ยางรถ (ปี)'!J8,IF(AND($D$2&lt;1667,$D$3=11),'ยางรถ (ปี)'!J8,IF(AND($D$2&lt;1667,$D$3=12),'ยางรถ (ปี)'!M8,IF(AND($D$2&lt;1667,$D$3=13),'ยางรถ (ปี)'!M8,IF(AND($D$2&lt;1667,$D$3=14),'ยางรถ (ปี)'!M8,IF(AND($D$2&lt;1667,$D$3=15),'ยางรถ (ปี)'!P8,IF(AND($D$2&lt;1667,$D$3=16),'ยางรถ (ปี)'!P8,IF(AND($D$2&lt;1667,$D$3=17),'ยางรถ (ปี)'!P8,IF(AND($D$2&lt;1667,$D$3=18),'ยางรถ (ปี)'!S8,IF(AND($D$2&lt;1667,$D$3=19),'ยางรถ (ปี)'!S8,IF(AND($D$2&lt;1667,$D$3=20),'ยางรถ (ปี)'!S8,IF(AND($D$2&lt;1667,$D$3=21),'ยางรถ (ปี)'!V8,IF(AND($D$2&gt;=1667,$D$4&lt;50000),0,IF(AND($D$2&gt;=1667, $D$4&lt;100000),'ยางรถ(ระยะทาง)'!G6,IF(AND($D$2&gt;=1667, $D$4&lt;150000),'ยางรถ(ระยะทาง)'!S7,IF(AND($D$2&gt;=1667, $D$4&lt;200000),'ยางรถ(ระยะทาง)'!S6,IF(AND($D$2&gt;=1667, $D$4&lt;250000),'ยางรถ(ระยะทาง)'!Y6,IF(AND($D$2&gt;=1667, $D$4&lt;300000),'ยางรถ(ระยะทาง)'!AF6,IF(AND($D$2&gt;=1667, $D$4&lt;350000),'ยางรถ(ระยะทาง)'!AL6,IF(AND($D$2&gt;=1667, $D$4&lt;400000),'ยางรถ(ระยะทาง)'!AR6,IF(AND($D$2&gt;=1667, $D$4&lt;450000),'ยางรถ(ระยะทาง)'!AX6,IF(AND($D$2&gt;=1667, $D$4&lt;500000),'ยางรถ(ระยะทาง)'!BD6,IF(AND($D$2&gt;=1667, $D$4&lt;550000),'ยางรถ(ระยะทาง)'!BJ6,IF(AND($D$2&gt;=1667, $D$4&lt;600000),'ยางรถ(ระยะทาง)'!BL6,IF(AND($D$2&gt;=1667, $D$4&lt;650000),'ยางรถ(ระยะทาง)'!BN6,IF(AND($D$2&gt;=1667, $D$4&lt;700000),'ยางรถ(ระยะทาง)'!BP6,IF(AND($D$2&gt;=1667, $D$4&lt;750000),'ยางรถ(ระยะทาง)'!BR6,IF(AND($D$2&gt;=1667, $D$4&lt;800000),'ยางรถ(ระยะทาง)'!BV6)))))))))))))))))))))))))))))))))))))</f>
        <v>0</v>
      </c>
      <c r="I9" s="55">
        <f>IF(AND($D$2&lt;1667,$D$3=1),'แบตเตอร์รี่ (ปี)'!B6,IF(AND($D$2&lt;1667,$D$3=2),'แบตเตอร์รี่ (ปี)'!C6,IF(AND($D$2&lt;1667,$D$3=3),'แบตเตอร์รี่ (ปี)'!C6,IF(AND($D$2&lt;1667,$D$3=4),'แบตเตอร์รี่ (ปี)'!E6,IF(AND($D$2&lt;1667,$D$3=5),'แบตเตอร์รี่ (ปี)'!E6,IF(AND($D$2&lt;1667,$D$3=6),'แบตเตอร์รี่ (ปี)'!G6,IF(AND($D$2&lt;1667,$D$3=7),'แบตเตอร์รี่ (ปี)'!G6,IF(AND($D$2&lt;1667,$D$3=8),'แบตเตอร์รี่ (ปี)'!I6,IF(AND($D$2&lt;1667,$D$3=9),'แบตเตอร์รี่ (ปี)'!I6,IF(AND($D$2&lt;1667,$D$3=10),'แบตเตอร์รี่ (ปี)'!K6,IF(AND($D$2&lt;1667,$D$3=11),'แบตเตอร์รี่ (ปี)'!K6,IF(AND($D$2&lt;1667,$D$3=12),'แบตเตอร์รี่ (ปี)'!M6,IF(AND($D$2&lt;1667,$D$3=13),'แบตเตอร์รี่ (ปี)'!M6,IF(AND($D$2&lt;1667,$D$3=14),'แบตเตอร์รี่ (ปี)'!O6,IF(AND($D$2&lt;1667,$D$3=15),'แบตเตอร์รี่ (ปี)'!O6,IF(AND($D$2&lt;1667,$D$3=16),'แบตเตอร์รี่ (ปี)'!Q6,IF(AND($D$2&lt;1667,$D$3=17),'แบตเตอร์รี่ (ปี)'!Q6,IF(AND($D$2&lt;1667,$D$3=18),'แบตเตอร์รี่ (ปี)'!S6,IF(AND($D$2&lt;1667,$D$3=19),'แบตเตอร์รี่ (ปี)'!S6,IF(AND($D$2&lt;1667,$D$3=20),'แบตเตอร์รี่ (ปี)'!U6,IF(AND($D$2&gt;=1667,$D$4&lt;40000),0,IF(AND($D$2&gt;=1667,$D$4&lt;80000),'แบตเตอรี(ระยะทาง) '!E6,IF(AND($D$2&gt;=1667,$D$4&lt;120000),'แบตเตอรี(ระยะทาง) '!I6,IF(AND($D$2&gt;=1667,$D$4&lt;160000),'แบตเตอรี(ระยะทาง) '!M6,IF(AND($D$2&gt;=1667,$D$4&lt;200000),'แบตเตอรี(ระยะทาง) '!Q6,IF(AND($D$2&gt;=1667,$D$4&lt;240000),'แบตเตอรี(ระยะทาง) '!E6,IF(AND($D$2&gt;=1667,$D$4&lt;280000),'แบตเตอรี(ระยะทาง) '!Y6,IF(AND($D$2&gt;=1667,$D$4&lt;320000),'แบตเตอรี(ระยะทาง) '!AC6,IF(AND($D$2&gt;=1667,$D$4&lt;360000),'แบตเตอรี(ระยะทาง) '!AG6,IF(AND($D$2&gt;=1667,$D$4&lt;400000),'แบตเตอรี(ระยะทาง) '!AK6,IF(AND($D$2&gt;=1667,$D$4&lt;440000),'แบตเตอรี(ระยะทาง) '!AO6,IF(AND($D$2&gt;=1667,$D$4&lt;480000),'แบตเตอรี(ระยะทาง) '!AS6,IF(AND($D$2&gt;=1667,$D$4&lt;50000),'แบตเตอรี(ระยะทาง) '!AW6,)))))))))))))))))))))))))))))))))</f>
        <v>0</v>
      </c>
      <c r="J9" s="55">
        <f>IF(AND($D$2&lt;1667,$D$3=1),'แบตเตอรีไฟฟ้า (ปี)'!B6,IF(AND($D$2&lt;1667,$D$3=2),'แบตเตอรีไฟฟ้า (ปี)'!C6,IF(AND($D$2&lt;1667,$D$3=3),'แบตเตอรีไฟฟ้า (ปี)'!D6,IF(AND($D$2&lt;1667,$D$3=4),'แบตเตอรีไฟฟ้า (ปี)'!E6,IF(AND($D$2&lt;1667,$D$3=5),'แบตเตอรีไฟฟ้า (ปี)'!F6,IF(AND($D$2&lt;1667,$D$3=6),'แบตเตอรีไฟฟ้า (ปี)'!G6,IF(AND($D$2&lt;1667,$D$3=7),'แบตเตอรีไฟฟ้า (ปี)'!H6,IF(AND($D$2&lt;1667,$D$3=8),'แบตเตอรีไฟฟ้า (ปี)'!I6,IF(AND($D$2&lt;1667,$D$3=9),'แบตเตอรีไฟฟ้า (ปี)'!I6,IF(AND($D$2&lt;1667,$D$3=10),'แบตเตอรีไฟฟ้า (ปี)'!K6,IF(AND($D$2&lt;1667,$D$3=11),'แบตเตอรีไฟฟ้า (ปี)'!I6,IF(AND($D$2&lt;1667,$D$3=12),'แบตเตอรีไฟฟ้า (ปี)'!I6,IF(AND($D$2&lt;1667,$D$3=13),'แบตเตอรีไฟฟ้า (ปี)'!I6,IF(AND($D$2&lt;1667,$D$3=14),'แบตเตอรีไฟฟ้า (ปี)'!I6,IF(AND($D$2&lt;1667,$D$3=15),'แบตเตอรีไฟฟ้า (ปี)'!I6,IF(AND($D$2&lt;1667,$D$3=16),'แบตเตอรีไฟฟ้า (ปี)'!Q6,IF(AND($D$2&lt;1667,$D$3=17),'แบตเตอรีไฟฟ้า (ปี)'!Q6,IF(AND($D$2&lt;1667,$D$3=18),'แบตเตอรีไฟฟ้า (ปี)'!Q6,IF(AND($D$2&lt;1667,$D$3=19),'แบตเตอรีไฟฟ้า (ปี)'!Q6,IF(AND($D$2&lt;1667,$D$3=20),'แบตเตอรีไฟฟ้า (ปี)'!Q6,IF(AND($D$2&gt;=1667,$D$4&lt;170000),0,IF(AND($D$2&gt;=1667,$D$4&lt;340000),'แบตเตอรีรถไฟฟ้า(ระยะทาง)'!R6,IF(AND($D$2&gt;=1667,$D$4&lt;510000),'แบตเตอรีรถไฟฟ้า(ระยะทาง)'!AI6,)))))))))))))))))))))))</f>
        <v>0</v>
      </c>
      <c r="K9" s="55">
        <f>IF(AND($D$2&lt;1667,$D$3=1),'ค่าบำรุงรักษา(ปี)'!F6,IF(AND($D$2&lt;1667,$D$3=2),'ค่าบำรุงรักษา(ปี)'!J6,IF(AND($D$2&lt;1667,$D$3=3),'ค่าบำรุงรักษา(ปี)'!N6,IF(AND($D$2&lt;1667,$D$3=4),'ค่าบำรุงรักษา(ปี)'!R6,IF(AND($D$2&lt;1667,$D$3=5),'ค่าบำรุงรักษา(ปี)'!V6,IF(AND($D$2&lt;1667,$D$3=6),'ค่าบำรุงรักษา(ปี)'!Z6,IF(AND($D$2&lt;1667,$D$3=7),'ค่าบำรุงรักษา(ปี)'!AD6,IF(AND($D$2&lt;1667,$D$3=8),'ค่าบำรุงรักษา(ปี)'!AH6,IF(AND($D$2&lt;1667,$D$3=9),'ค่าบำรุงรักษา(ปี)'!AL6,IF(AND($D$2&lt;1667,$D$3=10),'ค่าบำรุงรักษา(ปี)'!AP6,IF(AND($D$2&lt;1667,$D$3=11),'ค่าบำรุงรักษา(ปี)'!AT6,IF(AND($D$2&lt;1667,$D$3=12),'ค่าบำรุงรักษา(ปี)'!AX6,IF(AND($D$2&lt;1667,$D$3=13),'ค่าบำรุงรักษา(ปี)'!BB6,IF(AND($D$2&lt;1667,$D$3=14),'ค่าบำรุงรักษา(ปี)'!BF6,IF(AND($D$2&lt;1667,$D$3=15),'ค่าบำรุงรักษา(ปี)'!BJ6,IF(AND($D$2&lt;1667,$D$3=16),'ค่าบำรุงรักษา(ปี)'!BN6,IF(AND($D$2&lt;1667,$D$3=17),'ค่าบำรุงรักษา(ปี)'!BR6,IF(AND($D$2&lt;1667,$D$3=18),'ค่าบำรุงรักษา(ปี)'!BV6,IF(AND($D$2&lt;1667,$D$3=19),'ค่าบำรุงรักษา(ปี)'!BZ6,IF(AND($D$2&lt;1667,$D$3=20),'ค่าบำรุงรักษา(ปี)'!CD6,IF(AND($D$2&gt;=1667,$D$4&lt;30000),'ค่าบำรุงรักษา (ระยะทาง)'!G6,IF(AND($D$2&gt;=1667,$D$4&lt;40000),'ค่าบำรุงรักษา (ระยะทาง)'!I6,IF(AND($D$2&gt;=1667,$D$4&lt;50000),'ค่าบำรุงรักษา (ระยะทาง)'!K6,IF(AND($D$2&gt;=1667,$D$4&lt;60000),'ค่าบำรุงรักษา (ระยะทาง)'!M6,IF(AND($D$2&gt;=1667,$D$4&lt;70000),'ค่าบำรุงรักษา (ระยะทาง)'!O6,IF(AND($D$2&gt;=1667,$D$4&lt;80000),'ค่าบำรุงรักษา (ระยะทาง)'!Q6,IF(AND($D$2&gt;=1667,$D$4&lt;90000),'ค่าบำรุงรักษา (ระยะทาง)'!S6,IF(AND($D$2&gt;=1667,$D$4&lt;100000),'ค่าบำรุงรักษา (ระยะทาง)'!U6,IF(AND($D$2&gt;=1667,$D$4&lt;110000),'ค่าบำรุงรักษา (ระยะทาง)'!W6,IF(AND($D$2&gt;=1667,$D$4&lt;120000),'ค่าบำรุงรักษา (ระยะทาง)'!Y6,IF(AND($D$2&gt;=1667,$D$4&lt;130000),'ค่าบำรุงรักษา (ระยะทาง)'!AA6,IF(AND($D$2&gt;=1667,$D$4&lt;140000),'ค่าบำรุงรักษา (ระยะทาง)'!AC6,IF(AND($D$2&gt;=1667,$D$4&lt;150000),'ค่าบำรุงรักษา (ระยะทาง)'!AE6,IF(AND($D$2&gt;=1667,$D$4&lt;160000),'ค่าบำรุงรักษา (ระยะทาง)'!AG6,IF(AND($D$2&gt;=1667,$D$4&lt;170000),'ค่าบำรุงรักษา (ระยะทาง)'!AI6,IF(AND($D$2&gt;=1667,$D$4&lt;180000),'ค่าบำรุงรักษา (ระยะทาง)'!AK6,IF(AND($D$2&gt;=1667,$D$4&lt;190000),'ค่าบำรุงรักษา (ระยะทาง)'!AM6,IF(AND($D$2&gt;=1667,$D$4&lt;200000),'ค่าบำรุงรักษา (ระยะทาง)'!AO6,IF(AND($D$2&gt;=1667,$D$4&lt;210000),'ค่าบำรุงรักษา (ระยะทาง)'!AQ6,IF(AND($D$2&gt;=1667,$D$4&lt;220000),'ค่าบำรุงรักษา (ระยะทาง)'!AS6,IF(AND($D$2&gt;=1667,$D$4&lt;220000),'ค่าบำรุงรักษา (ระยะทาง)'!AU6,IF(AND($D$2&gt;=1667,$D$4&lt;240000),'ค่าบำรุงรักษา (ระยะทาง)'!AW6,IF(AND($D$2&gt;=1667,$D$4&lt;250000),'ค่าบำรุงรักษา (ระยะทาง)'!AY6,IF(AND($D$2&gt;=1667,$D$4&lt;260000),'ค่าบำรุงรักษา (ระยะทาง)'!BA6,IF(AND($D$2&gt;=1667,$D$4&lt;270000),'ค่าบำรุงรักษา (ระยะทาง)'!BC6,IF(AND($D$2&gt;=1667,$D$4&lt;280000),'ค่าบำรุงรักษา (ระยะทาง)'!BE6,IF(AND($D$2&gt;=1667,$D$4&lt;290000),'ค่าบำรุงรักษา (ระยะทาง)'!BG6,IF(AND($D$2&gt;=1667,$D$4&lt;300000),'ค่าบำรุงรักษา (ระยะทาง)'!BH4,IF(AND($D$2&gt;=1667,$D$4&lt;310000),'ค่าบำรุงรักษา (ระยะทาง)'!BK6,IF(AND($D$2&gt;=1667,$D$4&lt;320000),'ค่าบำรุงรักษา (ระยะทาง)'!BM6,IF(AND($D$2&gt;=1667,$D$4&lt;330000),'ค่าบำรุงรักษา (ระยะทาง)'!BO6,IF(AND($D$2&gt;=1667,$D$4&lt;340000),'ค่าบำรุงรักษา (ระยะทาง)'!BQ6,IF(AND($D$2&gt;=1667,$D$4&lt;350000),'ค่าบำรุงรักษา (ระยะทาง)'!BS6,IF(AND($D$2&gt;=1667,$D$4&lt;370000),'ค่าบำรุงรักษา (ระยะทาง)'!BW6,IF(AND($D$2&gt;=1667,$D$4&lt;380000),'ค่าบำรุงรักษา (ระยะทาง)'!BY6,IF(AND($D$2&gt;=1667,$D$4&lt;390000),'ค่าบำรุงรักษา (ระยะทาง)'!CA6,IF(AND($D$2&gt;=1667,$D$4&lt;400000),'ค่าบำรุงรักษา (ระยะทาง)'!CC6,IF(AND($D$2&gt;=1667,$D$4&lt;430000),'ค่าบำรุงรักษา (ระยะทาง)'!CI6,IF(AND($D$2&gt;=1667,$D$4&lt;440000),'ค่าบำรุงรักษา (ระยะทาง)'!CK6,IF(AND($D$2&gt;=1667,$D$4&lt;450000),'ค่าบำรุงรักษา (ระยะทาง)'!CM6,IF(AND($D$2&gt;=1667,$D$4&lt;460000),'ค่าบำรุงรักษา (ระยะทาง)'!CO6,IF(AND($D$2&gt;=1667,$D$4&lt;470000),'ค่าบำรุงรักษา (ระยะทาง)'!CQ6,IF(AND($D$2&gt;=1667,$D$4&lt;480000),'ค่าบำรุงรักษา (ระยะทาง)'!CS6,IF(AND($D$2&gt;=1667,$D$4&lt;490000),'ค่าบำรุงรักษา (ระยะทาง)'!CU6))))))))))))))))))))))))))))))))))))))))))))))))))))))))))))))))</f>
        <v>5000</v>
      </c>
      <c r="L9" s="55">
        <f t="shared" ref="L9:L12" si="0">$D$4*$I$3/B9</f>
        <v>48981.818181818184</v>
      </c>
      <c r="M9" s="56">
        <f>C9+(E9+F9+G9)+(H9+I9)+J9+K9+L9</f>
        <v>988694.0281818182</v>
      </c>
    </row>
    <row r="10" spans="1:13" ht="24.6">
      <c r="A10" s="38" t="s">
        <v>124</v>
      </c>
      <c r="B10" s="54">
        <f>ค่าพลังงาน!B9</f>
        <v>15.5</v>
      </c>
      <c r="C10" s="55">
        <f>ราคาเริ่มต้น!B7</f>
        <v>1039000</v>
      </c>
      <c r="D10" s="55">
        <f>IF($D$3=1,ราคาเริ่มต้น!D7,IF($D$3=2,ราคาเริ่มต้น!E7,IF($D$3=3,ราคาเริ่มต้น!F7,IF($D$3=4,ราคาเริ่มต้น!G7,IF($D$3=5,ราคาเริ่มต้น!H7,IF($D$3=6,ราคาเริ่มต้น!I7,IF($D$3=7,ราคาเริ่มต้น!J7,IF($D$3=8,ราคาเริ่มต้น!K7,IF($D$3=9,ราคาเริ่มต้น!L7,IF($D$3=10,ราคาเริ่มต้น!M7,IF($D$3=11,ราคาเริ่มต้น!N7,IF($D$3=12,ราคาเริ่มต้น!O7,IF($D$3=13,ราคาเริ่มต้น!P7,IF($D$3=14,ราคาเริ่มต้น!Q7,IF($D$3=15,ราคาเริ่มต้น!R7,IF($D$3=16,ราคาเริ่มต้น!S7,IF($D$3=17,ราคาเริ่มต้น!T7,IF($D$3=18,ราคาเริ่มต้น!U7,IF($D$3=19,ราคาเริ่มต้น!V7,IF($D$3=20,ราคาเริ่มต้น!W7))))))))))))))))))))</f>
        <v>862370</v>
      </c>
      <c r="E10" s="55">
        <f>IF($D$3=1,ภาษีประจำปี!C7,IF($D$3=2,ภาษีประจำปี!E7,IF($D$3=3,ภาษีประจำปี!F7,IF($D$3=4,ภาษีประจำปี!I7,IF($D$3=5,ภาษีประจำปี!K7,IF($D$3=6,ภาษีประจำปี!M7,IF($D$3=7,ภาษีประจำปี!O7,IF($D$3=8,ภาษีประจำปี!Q7,IF($D$3=9,ภาษีประจำปี!S7,IF($D$3=10,ภาษีประจำปี!U7,IF($D$3=11,ภาษีประจำปี!W7,IF($D$3=12,ภาษีประจำปี!Y7,IF($D$3=13,ภาษีประจำปี!AA7,IF($D$3=14,ภาษีประจำปี!AC7,IF($D$3=15,ภาษีประจำปี!AE7,IF($D$3=16,ภาษีประจำปี!AG7,IF($D$3=17,ภาษีประจำปี!AI7,IF($D$3=18,ภาษีประจำปี!AK7,IF($D$3=19,ภาษีประจำปี!AM7,IF($D$3=20,ภาษีประจำปี!AO7))))))))))))))))))))</f>
        <v>1647</v>
      </c>
      <c r="F10" s="55">
        <f>IF($D$3=1,ประกันภัยบังคับ!B7,IF($D$3=2,ประกันภัยบังคับ!C7,IF($D$3=3,ประกันภัยบังคับ!D7,IF($D$3=4,ประกันภัยบังคับ!E7,IF($D$3=5,ประกันภัยบังคับ!F7,IF($D$3=6,ประกันภัยบังคับ!G7,IF($D$3=7,ประกันภัยบังคับ!H7,IF($D$3=8,ประกันภัยบังคับ!I7,IF($D$3=9,ประกันภัยบังคับ!J7,IF($D$3=10,ประกันภัยบังคับ!K7,IF($D$3=11,ประกันภัยบังคับ!L7,IF($D$3=12,ประกันภัยบังคับ!M7,IF($D$3=13,ประกันภัยบังคับ!N7,IF($D$3=14,ประกันภัยบังคับ!O7,IF($D$3=15,ประกันภัยบังคับ!P7,IF($D$3=16,ประกันภัยบังคับ!Q7,IF($D$3=17,ประกันภัยบังคับ!R7,IF($D$3=18,ประกันภัยบังคับ!S7,IF($D$3=19,ประกันภัยบังคับ!T7,IF($D$3=20,ประกันภัยบังคับ!U7))))))))))))))))))))</f>
        <v>645.21</v>
      </c>
      <c r="G10" s="55">
        <f>IF($D$3=1,ประกันภัยชั้น1!C7,IF($D$3=2,ประกันภัยชั้น1!E7,IF($D$3=3,ประกันภัยชั้น1!G7,IF($D$3=4,ประกันภัยชั้น1!I7,IF($D$3=5,ประกันภัยชั้น1!K7,IF($D$3=6,ประกันภัยชั้น1!M7,IF($D$3=7,ประกันภัยชั้น1!O7,IF($D$3=8,ประกันภัยชั้น1!Q7,IF($D$3=9,ประกันภัยชั้น1!S7,IF($D$3=10,ประกันภัยชั้น1!U7,IF($D$3=11,ประกันภัยชั้น1!W7,IF($D$3=12,ประกันภัยชั้น1!Y7,IF($D$3=13,ประกันภัยชั้น1!AA7,IF($D$3=14,ประกันภัยชั้น1!AC7,IF($D$3=15,ประกันภัยชั้น1!AE7,IF($D$3=16,ประกันภัยชั้น1!AG7,IF($D$3=17,ประกันภัยชั้น1!AI7,IF($D$3=18,ประกันภัยชั้น1!AK7,IF($D$3=19,ประกันภัยชั้น1!AM7,IF($D$3=20,ประกันภัยชั้น1!AO7))))))))))))))))))))</f>
        <v>24500</v>
      </c>
      <c r="H10" s="55">
        <f>IF(AND($D$2&lt;1667,$D$3=1),'ยางรถ (ปี)'!B9,IF(AND($D$2&lt;1667,$D$3=2),'ยางรถ (ปี)'!C9,IF(AND($D$2&lt;1667,$D$3=3),'ยางรถ (ปี)'!D9,IF(AND($D$2&lt;1667,$D$3=4),'ยางรถ (ปี)'!D9,IF(AND($D$2&lt;1667,$D$3=5),'ยางรถ (ปี)'!D9,IF(AND($D$2&lt;1667,$D$3=6),'ยางรถ (ปี)'!G9,IF(AND($D$2&lt;1667,$D$3=7),'ยางรถ (ปี)'!G9,IF(AND($D$2&lt;1667,$D$3=8),'ยางรถ (ปี)'!G9,IF(AND($D$2&lt;1667,$D$3=9),'ยางรถ (ปี)'!J9,IF(AND($D$2&lt;1667,$D$3=10),'ยางรถ (ปี)'!J9,IF(AND($D$2&lt;1667,$D$3=11),'ยางรถ (ปี)'!J9,IF(AND($D$2&lt;1667,$D$3=12),'ยางรถ (ปี)'!M9,IF(AND($D$2&lt;1667,$D$3=13),'ยางรถ (ปี)'!M9,IF(AND($D$2&lt;1667,$D$3=14),'ยางรถ (ปี)'!M9,IF(AND($D$2&lt;1667,$D$3=15),'ยางรถ (ปี)'!P9,IF(AND($D$2&lt;1667,$D$3=16),'ยางรถ (ปี)'!P9,IF(AND($D$2&lt;1667,$D$3=17),'ยางรถ (ปี)'!P9,IF(AND($D$2&lt;1667,$D$3=18),'ยางรถ (ปี)'!S9,IF(AND($D$2&lt;1667,$D$3=19),'ยางรถ (ปี)'!S9,IF(AND($D$2&lt;1667,$D$3=20),'ยางรถ (ปี)'!S9,IF(AND($D$2&lt;1667,$D$3=21),'ยางรถ (ปี)'!V9,IF(AND($D$2&gt;=1667,$D$4&lt;50000),0,IF(AND($D$2&gt;=1667, $D$4&lt;100000),'ยางรถ(ระยะทาง)'!G7,IF(AND($D$2&gt;=1667, $D$4&lt;150000),'ยางรถ(ระยะทาง)'!M7,IF(AND($D$2&gt;=1667, $D$4&lt;200000),'ยางรถ(ระยะทาง)'!S7,IF(AND($D$2&gt;=1667, $D$4&lt;250000),'ยางรถ(ระยะทาง)'!Y7,IF(AND($D$2&gt;=1667, $D$4&lt;300000),'ยางรถ(ระยะทาง)'!AF7,IF(AND($D$2&gt;=1667, $D$4&lt;350000),'ยางรถ(ระยะทาง)'!AL7,IF(AND($D$2&gt;=1667, $D$4&lt;400000),'ยางรถ(ระยะทาง)'!AR7,IF(AND($D$2&gt;=1667, $D$4&lt;450000),'ยางรถ(ระยะทาง)'!AX7,IF(AND($D$2&gt;=1667, $D$4&lt;500000),'ยางรถ(ระยะทาง)'!BD7,IF(AND($D$2&gt;=1667, $D$4&lt;550000),'ยางรถ(ระยะทาง)'!BJ7,IF(AND($D$2&gt;=1667, $D$4&lt;600000),'ยางรถ(ระยะทาง)'!BL7,IF(AND($D$2&gt;=1667, $D$4&lt;650000),'ยางรถ(ระยะทาง)'!BN7,IF(AND($D$2&gt;=1667, $D$4&lt;700000),'ยางรถ(ระยะทาง)'!BP7,IF(AND($D$2&gt;=1667, $D$4&lt;750000),'ยางรถ(ระยะทาง)'!BR7,IF(AND($D$2&gt;=1667, $D$4&lt;800000),'ยางรถ(ระยะทาง)'!BV7)))))))))))))))))))))))))))))))))))))</f>
        <v>0</v>
      </c>
      <c r="I10" s="55">
        <f>IF(AND($D$2&lt;1667,$D$3=1),'แบตเตอร์รี่ (ปี)'!B7,IF(AND($D$2&lt;1667,$D$3=2),'แบตเตอร์รี่ (ปี)'!C7,IF(AND($D$2&lt;1667,$D$3=3),'แบตเตอร์รี่ (ปี)'!C7,IF(AND($D$2&lt;1667,$D$3=4),'แบตเตอร์รี่ (ปี)'!E7,IF(AND($D$2&lt;1667,$D$3=5),'แบตเตอร์รี่ (ปี)'!E7,IF(AND($D$2&lt;1667,$D$3=6),'แบตเตอร์รี่ (ปี)'!G7,IF(AND($D$2&lt;1667,$D$3=7),'แบตเตอร์รี่ (ปี)'!G7,IF(AND($D$2&lt;1667,$D$3=8),'แบตเตอร์รี่ (ปี)'!I7,IF(AND($D$2&lt;1667,$D$3=9),'แบตเตอร์รี่ (ปี)'!I7,IF(AND($D$2&lt;1667,$D$3=10),'แบตเตอร์รี่ (ปี)'!K7,IF(AND($D$2&lt;1667,$D$3=11),'แบตเตอร์รี่ (ปี)'!K7,IF(AND($D$2&lt;1667,$D$3=12),'แบตเตอร์รี่ (ปี)'!M7,IF(AND($D$2&lt;1667,$D$3=13),'แบตเตอร์รี่ (ปี)'!M7,IF(AND($D$2&lt;1667,$D$3=14),'แบตเตอร์รี่ (ปี)'!O7,IF(AND($D$2&lt;1667,$D$3=15),'แบตเตอร์รี่ (ปี)'!O7,IF(AND($D$2&lt;1667,$D$3=16),'แบตเตอร์รี่ (ปี)'!Q7,IF(AND($D$2&lt;1667,$D$3=17),'แบตเตอร์รี่ (ปี)'!Q7,IF(AND($D$2&lt;1667,$D$3=18),'แบตเตอร์รี่ (ปี)'!S7,IF(AND($D$2&lt;1667,$D$3=19),'แบตเตอร์รี่ (ปี)'!S7,IF(AND($D$2&lt;1667,$D$3=20),'แบตเตอร์รี่ (ปี)'!U7,IF(AND($D$2&gt;=1667,$D$4&lt;40000),0,IF(AND($D$2&gt;=1667,$D$4&lt;80000),'แบตเตอรี(ระยะทาง) '!E7,IF(AND($D$2&gt;=1667,$D$4&lt;120000),'แบตเตอรี(ระยะทาง) '!I7,IF(AND($D$2&gt;=1667,$D$4&lt;160000),'แบตเตอรี(ระยะทาง) '!M7,IF(AND($D$2&gt;=1667,$D$4&lt;200000),'แบตเตอรี(ระยะทาง) '!Q7,IF(AND($D$2&gt;=1667,$D$4&lt;240000),'แบตเตอรี(ระยะทาง) '!E7,IF(AND($D$2&gt;=1667,$D$4&lt;280000),'แบตเตอรี(ระยะทาง) '!Y7,IF(AND($D$2&gt;=1667,$D$4&lt;320000),'แบตเตอรี(ระยะทาง) '!AC7,IF(AND($D$2&gt;=1667,$D$4&lt;360000),'แบตเตอรี(ระยะทาง) '!AG7,IF(AND($D$2&gt;=1667,$D$4&lt;400000),'แบตเตอรี(ระยะทาง) '!AK7,IF(AND($D$2&gt;=1667,$D$4&lt;440000),'แบตเตอรี(ระยะทาง) '!AO7,IF(AND($D$2&gt;=1667,$D$4&lt;480000),'แบตเตอรี(ระยะทาง) '!AS7,IF(AND($D$2&gt;=1667,$D$4&lt;50000),'แบตเตอรี(ระยะทาง) '!AW7,)))))))))))))))))))))))))))))))))</f>
        <v>0</v>
      </c>
      <c r="J10" s="55">
        <f>IF(AND($D$2&lt;1667,$D$3=1),'แบตเตอรีไฟฟ้า (ปี)'!B7,IF(AND($D$2&lt;1667,$D$3=2),'แบตเตอรีไฟฟ้า (ปี)'!C7,IF(AND($D$2&lt;1667,$D$3=3),'แบตเตอรีไฟฟ้า (ปี)'!D7,IF(AND($D$2&lt;1667,$D$3=4),'แบตเตอรีไฟฟ้า (ปี)'!E7,IF(AND($D$2&lt;1667,$D$3=5),'แบตเตอรีไฟฟ้า (ปี)'!F7,IF(AND($D$2&lt;1667,$D$3=6),'แบตเตอรีไฟฟ้า (ปี)'!G7,IF(AND($D$2&lt;1667,$D$3=7),'แบตเตอรีไฟฟ้า (ปี)'!H7,IF(AND($D$2&lt;1667,$D$3=8),'แบตเตอรีไฟฟ้า (ปี)'!I7,IF(AND($D$2&lt;1667,$D$3=9),'แบตเตอรีไฟฟ้า (ปี)'!I7,IF(AND($D$2&lt;1667,$D$3=10),'แบตเตอรีไฟฟ้า (ปี)'!K7,IF(AND($D$2&lt;1667,$D$3=11),'แบตเตอรีไฟฟ้า (ปี)'!I7,IF(AND($D$2&lt;1667,$D$3=12),'แบตเตอรีไฟฟ้า (ปี)'!I7,IF(AND($D$2&lt;1667,$D$3=13),'แบตเตอรีไฟฟ้า (ปี)'!I7,IF(AND($D$2&lt;1667,$D$3=14),'แบตเตอรีไฟฟ้า (ปี)'!I7,IF(AND($D$2&lt;1667,$D$3=15),'แบตเตอรีไฟฟ้า (ปี)'!I7,IF(AND($D$2&lt;1667,$D$3=16),'แบตเตอรีไฟฟ้า (ปี)'!Q7,IF(AND($D$2&lt;1667,$D$3=17),'แบตเตอรีไฟฟ้า (ปี)'!Q7,IF(AND($D$2&lt;1667,$D$3=18),'แบตเตอรีไฟฟ้า (ปี)'!Q7,IF(AND($D$2&lt;1667,$D$3=19),'แบตเตอรีไฟฟ้า (ปี)'!Q7,IF(AND($D$2&lt;1667,$D$3=20),'แบตเตอรีไฟฟ้า (ปี)'!Q7,IF(AND($D$2&gt;=1667,$D$4&lt;170000),0,IF(AND($D$2&gt;=1667,$D$4&lt;340000),'แบตเตอรีรถไฟฟ้า(ระยะทาง)'!R7,IF(AND($D$2&gt;=1667,$D$4&lt;510000),'แบตเตอรีรถไฟฟ้า(ระยะทาง)'!AI7,)))))))))))))))))))))))</f>
        <v>0</v>
      </c>
      <c r="K10" s="55">
        <f>IF(AND($D$2&lt;1667,$D$3=1),'ค่าบำรุงรักษา(ปี)'!F7,IF(AND($D$2&lt;1667,$D$3=2),'ค่าบำรุงรักษา(ปี)'!J7,IF(AND($D$2&lt;1667,$D$3=3),'ค่าบำรุงรักษา(ปี)'!N7,IF(AND($D$2&lt;1667,$D$3=4),'ค่าบำรุงรักษา(ปี)'!R7,IF(AND($D$2&lt;1667,$D$3=5),'ค่าบำรุงรักษา(ปี)'!V7,IF(AND($D$2&lt;1667,$D$3=6),'ค่าบำรุงรักษา(ปี)'!Z7,IF(AND($D$2&lt;1667,$D$3=7),'ค่าบำรุงรักษา(ปี)'!AD7,IF(AND($D$2&lt;1667,$D$3=8),'ค่าบำรุงรักษา(ปี)'!AH7,IF(AND($D$2&lt;1667,$D$3=9),'ค่าบำรุงรักษา(ปี)'!AL7,IF(AND($D$2&lt;1667,$D$3=10),'ค่าบำรุงรักษา(ปี)'!AP7,IF(AND($D$2&lt;1667,$D$3=11),'ค่าบำรุงรักษา(ปี)'!AT7,IF(AND($D$2&lt;1667,$D$3=12),'ค่าบำรุงรักษา(ปี)'!AX7,IF(AND($D$2&lt;1667,$D$3=13),'ค่าบำรุงรักษา(ปี)'!BB7,IF(AND($D$2&lt;1667,$D$3=14),'ค่าบำรุงรักษา(ปี)'!BF7,IF(AND($D$2&lt;1667,$D$3=15),'ค่าบำรุงรักษา(ปี)'!BJ7,IF(AND($D$2&lt;1667,$D$3=16),'ค่าบำรุงรักษา(ปี)'!BN7,IF(AND($D$2&lt;1667,$D$3=17),'ค่าบำรุงรักษา(ปี)'!BR7,IF(AND($D$2&lt;1667,$D$3=18),'ค่าบำรุงรักษา(ปี)'!BV7,IF(AND($D$2&lt;1667,$D$3=19),'ค่าบำรุงรักษา(ปี)'!BZ7,IF(AND($D$2&lt;1667,$D$3=20),'ค่าบำรุงรักษา(ปี)'!CD7,IF(AND($D$2&gt;=1667,$D$4&lt;30000),'ค่าบำรุงรักษา (ระยะทาง)'!G7,IF(AND($D$2&gt;=1667,$D$4&lt;40000),'ค่าบำรุงรักษา (ระยะทาง)'!I7,IF(AND($D$2&gt;=1667,$D$4&lt;50000),'ค่าบำรุงรักษา (ระยะทาง)'!K7,IF(AND($D$2&gt;=1667,$D$4&lt;60000),'ค่าบำรุงรักษา (ระยะทาง)'!M7,IF(AND($D$2&gt;=1667,$D$4&lt;70000),'ค่าบำรุงรักษา (ระยะทาง)'!O7,IF(AND($D$2&gt;=1667,$D$4&lt;80000),'ค่าบำรุงรักษา (ระยะทาง)'!Q7,IF(AND($D$2&gt;=1667,$D$4&lt;90000),'ค่าบำรุงรักษา (ระยะทาง)'!S7,IF(AND($D$2&gt;=1667,$D$4&lt;100000),'ค่าบำรุงรักษา (ระยะทาง)'!U7,IF(AND($D$2&gt;=1667,$D$4&lt;110000),'ค่าบำรุงรักษา (ระยะทาง)'!W7,IF(AND($D$2&gt;=1667,$D$4&lt;120000),'ค่าบำรุงรักษา (ระยะทาง)'!Y7,IF(AND($D$2&gt;=1667,$D$4&lt;130000),'ค่าบำรุงรักษา (ระยะทาง)'!AA7,IF(AND($D$2&gt;=1667,$D$4&lt;140000),'ค่าบำรุงรักษา (ระยะทาง)'!AC7,IF(AND($D$2&gt;=1667,$D$4&lt;150000),'ค่าบำรุงรักษา (ระยะทาง)'!AE7,IF(AND($D$2&gt;=1667,$D$4&lt;160000),'ค่าบำรุงรักษา (ระยะทาง)'!AG7,IF(AND($D$2&gt;=1667,$D$4&lt;170000),'ค่าบำรุงรักษา (ระยะทาง)'!AI7,IF(AND($D$2&gt;=1667,$D$4&lt;180000),'ค่าบำรุงรักษา (ระยะทาง)'!AK7,IF(AND($D$2&gt;=1667,$D$4&lt;190000),'ค่าบำรุงรักษา (ระยะทาง)'!AM7,IF(AND($D$2&gt;=1667,$D$4&lt;200000),'ค่าบำรุงรักษา (ระยะทาง)'!AO7,IF(AND($D$2&gt;=1667,$D$4&lt;210000),'ค่าบำรุงรักษา (ระยะทาง)'!AQ7,IF(AND($D$2&gt;=1667,$D$4&lt;220000),'ค่าบำรุงรักษา (ระยะทาง)'!AS7,IF(AND($D$2&gt;=1667,$D$4&lt;220000),'ค่าบำรุงรักษา (ระยะทาง)'!AU7,IF(AND($D$2&gt;=1667,$D$4&lt;240000),'ค่าบำรุงรักษา (ระยะทาง)'!AW7,IF(AND($D$2&gt;=1667,$D$4&lt;250000),'ค่าบำรุงรักษา (ระยะทาง)'!AY7,IF(AND($D$2&gt;=1667,$D$4&lt;260000),'ค่าบำรุงรักษา (ระยะทาง)'!BA7,IF(AND($D$2&gt;=1667,$D$4&lt;270000),'ค่าบำรุงรักษา (ระยะทาง)'!BC7,IF(AND($D$2&gt;=1667,$D$4&lt;280000),'ค่าบำรุงรักษา (ระยะทาง)'!BE7,IF(AND($D$2&gt;=1667,$D$4&lt;290000),'ค่าบำรุงรักษา (ระยะทาง)'!BG7,IF(AND($D$2&gt;=1667,$D$4&lt;300000),'ค่าบำรุงรักษา (ระยะทาง)'!BH5,IF(AND($D$2&gt;=1667,$D$4&lt;310000),'ค่าบำรุงรักษา (ระยะทาง)'!BK7,IF(AND($D$2&gt;=1667,$D$4&lt;320000),'ค่าบำรุงรักษา (ระยะทาง)'!BM7,IF(AND($D$2&gt;=1667,$D$4&lt;330000),'ค่าบำรุงรักษา (ระยะทาง)'!BO7,IF(AND($D$2&gt;=1667,$D$4&lt;340000),'ค่าบำรุงรักษา (ระยะทาง)'!BQ7,IF(AND($D$2&gt;=1667,$D$4&lt;350000),'ค่าบำรุงรักษา (ระยะทาง)'!BS7,IF(AND($D$2&gt;=1667,$D$4&lt;370000),'ค่าบำรุงรักษา (ระยะทาง)'!BW7,IF(AND($D$2&gt;=1667,$D$4&lt;380000),'ค่าบำรุงรักษา (ระยะทาง)'!BY7,IF(AND($D$2&gt;=1667,$D$4&lt;390000),'ค่าบำรุงรักษา (ระยะทาง)'!CA7,IF(AND($D$2&gt;=1667,$D$4&lt;400000),'ค่าบำรุงรักษา (ระยะทาง)'!CC7,IF(AND($D$2&gt;=1667,$D$4&lt;430000),'ค่าบำรุงรักษา (ระยะทาง)'!CI7,IF(AND($D$2&gt;=1667,$D$4&lt;440000),'ค่าบำรุงรักษา (ระยะทาง)'!CK7,IF(AND($D$2&gt;=1667,$D$4&lt;450000),'ค่าบำรุงรักษา (ระยะทาง)'!CM7,IF(AND($D$2&gt;=1667,$D$4&lt;460000),'ค่าบำรุงรักษา (ระยะทาง)'!CO7,IF(AND($D$2&gt;=1667,$D$4&lt;470000),'ค่าบำรุงรักษา (ระยะทาง)'!CQ7,IF(AND($D$2&gt;=1667,$D$4&lt;480000),'ค่าบำรุงรักษา (ระยะทาง)'!CS7,IF(AND($D$2&gt;=1667,$D$4&lt;490000),'ค่าบำรุงรักษา (ระยะทาง)'!CU7))))))))))))))))))))))))))))))))))))))))))))))))))))))))))))))))</f>
        <v>5500</v>
      </c>
      <c r="L10" s="55">
        <f t="shared" si="0"/>
        <v>52141.93548387097</v>
      </c>
      <c r="M10" s="56">
        <f t="shared" ref="M10:M15" si="1">C10+(E10+F10+G10)+(H10+I10)+J10+K10+L10</f>
        <v>1123434.145483871</v>
      </c>
    </row>
    <row r="11" spans="1:13" ht="24.6">
      <c r="A11" s="38" t="s">
        <v>30</v>
      </c>
      <c r="B11" s="54">
        <f>ค่าพลังงาน!B10</f>
        <v>15</v>
      </c>
      <c r="C11" s="55">
        <f>ราคาเริ่มต้น!B8</f>
        <v>1198000</v>
      </c>
      <c r="D11" s="55">
        <f>IF($D$3=1,ราคาเริ่มต้น!D8,IF($D$3=2,ราคาเริ่มต้น!E8,IF($D$3=3,ราคาเริ่มต้น!F8,IF($D$3=4,ราคาเริ่มต้น!G8,IF($D$3=5,ราคาเริ่มต้น!H8,IF($D$3=6,ราคาเริ่มต้น!I8,IF($D$3=7,ราคาเริ่มต้น!J8,IF($D$3=8,ราคาเริ่มต้น!K8,IF($D$3=9,ราคาเริ่มต้น!L8,IF($D$3=10,ราคาเริ่มต้น!M8,IF($D$3=11,ราคาเริ่มต้น!N8,IF($D$3=12,ราคาเริ่มต้น!O8,IF($D$3=13,ราคาเริ่มต้น!P8,IF($D$3=14,ราคาเริ่มต้น!Q8,IF($D$3=15,ราคาเริ่มต้น!R8,IF($D$3=16,ราคาเริ่มต้น!S8,IF($D$3=17,ราคาเริ่มต้น!T8,IF($D$3=18,ราคาเริ่มต้น!U8,IF($D$3=19,ราคาเริ่มต้น!V8,IF($D$3=20,ราคาเริ่มต้น!W8))))))))))))))))))))</f>
        <v>1018300</v>
      </c>
      <c r="E11" s="55">
        <f>IF($D$3=1,ภาษีประจำปี!C8,IF($D$3=2,ภาษีประจำปี!E8,IF($D$3=3,ภาษีประจำปี!F8,IF($D$3=4,ภาษีประจำปี!I8,IF($D$3=5,ภาษีประจำปี!K8,IF($D$3=6,ภาษีประจำปี!M8,IF($D$3=7,ภาษีประจำปี!O8,IF($D$3=8,ภาษีประจำปี!Q8,IF($D$3=9,ภาษีประจำปี!S8,IF($D$3=10,ภาษีประจำปี!U8,IF($D$3=11,ภาษีประจำปี!W8,IF($D$3=12,ภาษีประจำปี!Y8,IF($D$3=13,ภาษีประจำปี!AA8,IF($D$3=14,ภาษีประจำปี!AC8,IF($D$3=15,ภาษีประจำปี!AE8,IF($D$3=16,ภาษีประจำปี!AG8,IF($D$3=17,ภาษีประจำปี!AI8,IF($D$3=18,ภาษีประจำปี!AK8,IF($D$3=19,ภาษีประจำปี!AM8,IF($D$3=20,ภาษีประจำปี!AO8))))))))))))))))))))</f>
        <v>2900</v>
      </c>
      <c r="F11" s="55">
        <f>IF($D$3=1,ประกันภัยบังคับ!B8,IF($D$3=2,ประกันภัยบังคับ!C8,IF($D$3=3,ประกันภัยบังคับ!D8,IF($D$3=4,ประกันภัยบังคับ!E8,IF($D$3=5,ประกันภัยบังคับ!F8,IF($D$3=6,ประกันภัยบังคับ!G8,IF($D$3=7,ประกันภัยบังคับ!H8,IF($D$3=8,ประกันภัยบังคับ!I8,IF($D$3=9,ประกันภัยบังคับ!J8,IF($D$3=10,ประกันภัยบังคับ!K8,IF($D$3=11,ประกันภัยบังคับ!L8,IF($D$3=12,ประกันภัยบังคับ!M8,IF($D$3=13,ประกันภัยบังคับ!N8,IF($D$3=14,ประกันภัยบังคับ!O8,IF($D$3=15,ประกันภัยบังคับ!P8,IF($D$3=16,ประกันภัยบังคับ!Q8,IF($D$3=17,ประกันภัยบังคับ!R8,IF($D$3=18,ประกันภัยบังคับ!S8,IF($D$3=19,ประกันภัยบังคับ!T8,IF($D$3=20,ประกันภัยบังคับ!U8))))))))))))))))))))</f>
        <v>645.21</v>
      </c>
      <c r="G11" s="55">
        <f>IF($D$3=1,ประกันภัยชั้น1!C8,IF($D$3=2,ประกันภัยชั้น1!E8,IF($D$3=3,ประกันภัยชั้น1!G8,IF($D$3=4,ประกันภัยชั้น1!I8,IF($D$3=5,ประกันภัยชั้น1!K8,IF($D$3=6,ประกันภัยชั้น1!M8,IF($D$3=7,ประกันภัยชั้น1!O8,IF($D$3=8,ประกันภัยชั้น1!Q8,IF($D$3=9,ประกันภัยชั้น1!S8,IF($D$3=10,ประกันภัยชั้น1!U8,IF($D$3=11,ประกันภัยชั้น1!W8,IF($D$3=12,ประกันภัยชั้น1!Y8,IF($D$3=13,ประกันภัยชั้น1!AA8,IF($D$3=14,ประกันภัยชั้น1!AC8,IF($D$3=15,ประกันภัยชั้น1!AE8,IF($D$3=16,ประกันภัยชั้น1!AG8,IF($D$3=17,ประกันภัยชั้น1!AI8,IF($D$3=18,ประกันภัยชั้น1!AK8,IF($D$3=19,ประกันภัยชั้น1!AM8,IF($D$3=20,ประกันภัยชั้น1!AO8))))))))))))))))))))</f>
        <v>26645</v>
      </c>
      <c r="H11" s="55">
        <f>IF(AND($D$2&lt;1667,$D$3=1),'ยางรถ (ปี)'!B10,IF(AND($D$2&lt;1667,$D$3=2),'ยางรถ (ปี)'!C10,IF(AND($D$2&lt;1667,$D$3=3),'ยางรถ (ปี)'!D10,IF(AND($D$2&lt;1667,$D$3=4),'ยางรถ (ปี)'!D10,IF(AND($D$2&lt;1667,$D$3=5),'ยางรถ (ปี)'!D10,IF(AND($D$2&lt;1667,$D$3=6),'ยางรถ (ปี)'!G10,IF(AND($D$2&lt;1667,$D$3=7),'ยางรถ (ปี)'!G10,IF(AND($D$2&lt;1667,$D$3=8),'ยางรถ (ปี)'!G10,IF(AND($D$2&lt;1667,$D$3=9),'ยางรถ (ปี)'!J10,IF(AND($D$2&lt;1667,$D$3=10),'ยางรถ (ปี)'!J10,IF(AND($D$2&lt;1667,$D$3=11),'ยางรถ (ปี)'!J10,IF(AND($D$2&lt;1667,$D$3=12),'ยางรถ (ปี)'!M10,IF(AND($D$2&lt;1667,$D$3=13),'ยางรถ (ปี)'!M10,IF(AND($D$2&lt;1667,$D$3=14),'ยางรถ (ปี)'!M10,IF(AND($D$2&lt;1667,$D$3=15),'ยางรถ (ปี)'!P10,IF(AND($D$2&lt;1667,$D$3=16),'ยางรถ (ปี)'!P10,IF(AND($D$2&lt;1667,$D$3=17),'ยางรถ (ปี)'!P10,IF(AND($D$2&lt;1667,$D$3=18),'ยางรถ (ปี)'!S10,IF(AND($D$2&lt;1667,$D$3=19),'ยางรถ (ปี)'!S10,IF(AND($D$2&lt;1667,$D$3=20),'ยางรถ (ปี)'!S10,IF(AND($D$2&lt;1667,$D$3=21),'ยางรถ (ปี)'!V10,IF(AND($D$2&gt;=1667,$D$4&lt;50000),0,IF(AND($D$2&gt;=1667, $D$4&lt;100000),'ยางรถ(ระยะทาง)'!G8,IF(AND($D$2&gt;=1667, $D$4&lt;150000),'ยางรถ(ระยะทาง)'!M8,IF(AND($D$2&gt;=1667, $D$4&lt;200000),'ยางรถ(ระยะทาง)'!S8,IF(AND($D$2&gt;=1667, $D$4&lt;250000),'ยางรถ(ระยะทาง)'!Y8,IF(AND($D$2&gt;=1667, $D$4&lt;300000),'ยางรถ(ระยะทาง)'!AF8,IF(AND($D$2&gt;=1667, $D$4&lt;350000),'ยางรถ(ระยะทาง)'!AL8,IF(AND($D$2&gt;=1667, $D$4&lt;400000),'ยางรถ(ระยะทาง)'!AR8,IF(AND($D$2&gt;=1667, $D$4&lt;450000),'ยางรถ(ระยะทาง)'!AX8,IF(AND($D$2&gt;=1667, $D$4&lt;500000),'ยางรถ(ระยะทาง)'!BD8,IF(AND($D$2&gt;=1667, $D$4&lt;550000),'ยางรถ(ระยะทาง)'!BJ8,IF(AND($D$2&gt;=1667, $D$4&lt;600000),'ยางรถ(ระยะทาง)'!BL8,IF(AND($D$2&gt;=1667, $D$4&lt;650000),'ยางรถ(ระยะทาง)'!BN8,IF(AND($D$2&gt;=1667, $D$4&lt;700000),'ยางรถ(ระยะทาง)'!BP8,IF(AND($D$2&gt;=1667, $D$4&lt;750000),'ยางรถ(ระยะทาง)'!BR8,IF(AND($D$2&gt;=1667, $D$4&lt;800000),'ยางรถ(ระยะทาง)'!BV8)))))))))))))))))))))))))))))))))))))</f>
        <v>0</v>
      </c>
      <c r="I11" s="55">
        <f>IF(AND($D$2&lt;1667,$D$3=1),'แบตเตอร์รี่ (ปี)'!B8,IF(AND($D$2&lt;1667,$D$3=2),'แบตเตอร์รี่ (ปี)'!C8,IF(AND($D$2&lt;1667,$D$3=3),'แบตเตอร์รี่ (ปี)'!C8,IF(AND($D$2&lt;1667,$D$3=4),'แบตเตอร์รี่ (ปี)'!E8,IF(AND($D$2&lt;1667,$D$3=5),'แบตเตอร์รี่ (ปี)'!E8,IF(AND($D$2&lt;1667,$D$3=6),'แบตเตอร์รี่ (ปี)'!G8,IF(AND($D$2&lt;1667,$D$3=7),'แบตเตอร์รี่ (ปี)'!G8,IF(AND($D$2&lt;1667,$D$3=8),'แบตเตอร์รี่ (ปี)'!I8,IF(AND($D$2&lt;1667,$D$3=9),'แบตเตอร์รี่ (ปี)'!I8,IF(AND($D$2&lt;1667,$D$3=10),'แบตเตอร์รี่ (ปี)'!K8,IF(AND($D$2&lt;1667,$D$3=11),'แบตเตอร์รี่ (ปี)'!K8,IF(AND($D$2&lt;1667,$D$3=12),'แบตเตอร์รี่ (ปี)'!M8,IF(AND($D$2&lt;1667,$D$3=13),'แบตเตอร์รี่ (ปี)'!M8,IF(AND($D$2&lt;1667,$D$3=14),'แบตเตอร์รี่ (ปี)'!O8,IF(AND($D$2&lt;1667,$D$3=15),'แบตเตอร์รี่ (ปี)'!O8,IF(AND($D$2&lt;1667,$D$3=16),'แบตเตอร์รี่ (ปี)'!Q8,IF(AND($D$2&lt;1667,$D$3=17),'แบตเตอร์รี่ (ปี)'!Q8,IF(AND($D$2&lt;1667,$D$3=18),'แบตเตอร์รี่ (ปี)'!S8,IF(AND($D$2&lt;1667,$D$3=19),'แบตเตอร์รี่ (ปี)'!S8,IF(AND($D$2&lt;1667,$D$3=20),'แบตเตอร์รี่ (ปี)'!U8,IF(AND($D$2&gt;=1667,$D$4&lt;40000),0,IF(AND($D$2&gt;=1667,$D$4&lt;80000),'แบตเตอรี(ระยะทาง) '!E8,IF(AND($D$2&gt;=1667,$D$4&lt;120000),'แบตเตอรี(ระยะทาง) '!I8,IF(AND($D$2&gt;=1667,$D$4&lt;160000),'แบตเตอรี(ระยะทาง) '!M8,IF(AND($D$2&gt;=1667,$D$4&lt;200000),'แบตเตอรี(ระยะทาง) '!Q8,IF(AND($D$2&gt;=1667,$D$4&lt;240000),'แบตเตอรี(ระยะทาง) '!E8,IF(AND($D$2&gt;=1667,$D$4&lt;280000),'แบตเตอรี(ระยะทาง) '!Y8,IF(AND($D$2&gt;=1667,$D$4&lt;320000),'แบตเตอรี(ระยะทาง) '!AC8,IF(AND($D$2&gt;=1667,$D$4&lt;360000),'แบตเตอรี(ระยะทาง) '!AG8,IF(AND($D$2&gt;=1667,$D$4&lt;400000),'แบตเตอรี(ระยะทาง) '!AK8,IF(AND($D$2&gt;=1667,$D$4&lt;440000),'แบตเตอรี(ระยะทาง) '!AO8,IF(AND($D$2&gt;=1667,$D$4&lt;480000),'แบตเตอรี(ระยะทาง) '!AS8,IF(AND($D$2&gt;=1667,$D$4&lt;50000),'แบตเตอรี(ระยะทาง) '!AW8,)))))))))))))))))))))))))))))))))</f>
        <v>0</v>
      </c>
      <c r="J11" s="55">
        <f>IF(AND($D$2&lt;1667,$D$3=1),'แบตเตอรีไฟฟ้า (ปี)'!B8,IF(AND($D$2&lt;1667,$D$3=2),'แบตเตอรีไฟฟ้า (ปี)'!C8,IF(AND($D$2&lt;1667,$D$3=3),'แบตเตอรีไฟฟ้า (ปี)'!D8,IF(AND($D$2&lt;1667,$D$3=4),'แบตเตอรีไฟฟ้า (ปี)'!E8,IF(AND($D$2&lt;1667,$D$3=5),'แบตเตอรีไฟฟ้า (ปี)'!F8,IF(AND($D$2&lt;1667,$D$3=6),'แบตเตอรีไฟฟ้า (ปี)'!G8,IF(AND($D$2&lt;1667,$D$3=7),'แบตเตอรีไฟฟ้า (ปี)'!H8,IF(AND($D$2&lt;1667,$D$3=8),'แบตเตอรีไฟฟ้า (ปี)'!I8,IF(AND($D$2&lt;1667,$D$3=9),'แบตเตอรีไฟฟ้า (ปี)'!I8,IF(AND($D$2&lt;1667,$D$3=10),'แบตเตอรีไฟฟ้า (ปี)'!K8,IF(AND($D$2&lt;1667,$D$3=11),'แบตเตอรีไฟฟ้า (ปี)'!I8,IF(AND($D$2&lt;1667,$D$3=12),'แบตเตอรีไฟฟ้า (ปี)'!I8,IF(AND($D$2&lt;1667,$D$3=13),'แบตเตอรีไฟฟ้า (ปี)'!I8,IF(AND($D$2&lt;1667,$D$3=14),'แบตเตอรีไฟฟ้า (ปี)'!I8,IF(AND($D$2&lt;1667,$D$3=15),'แบตเตอรีไฟฟ้า (ปี)'!I8,IF(AND($D$2&lt;1667,$D$3=16),'แบตเตอรีไฟฟ้า (ปี)'!Q8,IF(AND($D$2&lt;1667,$D$3=17),'แบตเตอรีไฟฟ้า (ปี)'!Q8,IF(AND($D$2&lt;1667,$D$3=18),'แบตเตอรีไฟฟ้า (ปี)'!Q8,IF(AND($D$2&lt;1667,$D$3=19),'แบตเตอรีไฟฟ้า (ปี)'!Q8,IF(AND($D$2&lt;1667,$D$3=20),'แบตเตอรีไฟฟ้า (ปี)'!Q8,IF(AND($D$2&gt;=1667,$D$4&lt;170000),0,IF(AND($D$2&gt;=1667,$D$4&lt;340000),'แบตเตอรีรถไฟฟ้า(ระยะทาง)'!R8,IF(AND($D$2&gt;=1667,$D$4&lt;510000),'แบตเตอรีรถไฟฟ้า(ระยะทาง)'!AI8,)))))))))))))))))))))))</f>
        <v>0</v>
      </c>
      <c r="K11" s="55">
        <f>IF(AND($D$2&lt;1667,$D$3=1),'ค่าบำรุงรักษา(ปี)'!F8,IF(AND($D$2&lt;1667,$D$3=2),'ค่าบำรุงรักษา(ปี)'!J8,IF(AND($D$2&lt;1667,$D$3=3),'ค่าบำรุงรักษา(ปี)'!N8,IF(AND($D$2&lt;1667,$D$3=4),'ค่าบำรุงรักษา(ปี)'!R8,IF(AND($D$2&lt;1667,$D$3=5),'ค่าบำรุงรักษา(ปี)'!V8,IF(AND($D$2&lt;1667,$D$3=6),'ค่าบำรุงรักษา(ปี)'!Z8,IF(AND($D$2&lt;1667,$D$3=7),'ค่าบำรุงรักษา(ปี)'!AD8,IF(AND($D$2&lt;1667,$D$3=8),'ค่าบำรุงรักษา(ปี)'!AH8,IF(AND($D$2&lt;1667,$D$3=9),'ค่าบำรุงรักษา(ปี)'!AL8,IF(AND($D$2&lt;1667,$D$3=10),'ค่าบำรุงรักษา(ปี)'!AP8,IF(AND($D$2&lt;1667,$D$3=11),'ค่าบำรุงรักษา(ปี)'!AT8,IF(AND($D$2&lt;1667,$D$3=12),'ค่าบำรุงรักษา(ปี)'!AX8,IF(AND($D$2&lt;1667,$D$3=13),'ค่าบำรุงรักษา(ปี)'!BB8,IF(AND($D$2&lt;1667,$D$3=14),'ค่าบำรุงรักษา(ปี)'!BF8,IF(AND($D$2&lt;1667,$D$3=15),'ค่าบำรุงรักษา(ปี)'!BJ8,IF(AND($D$2&lt;1667,$D$3=16),'ค่าบำรุงรักษา(ปี)'!BN8,IF(AND($D$2&lt;1667,$D$3=17),'ค่าบำรุงรักษา(ปี)'!BR8,IF(AND($D$2&lt;1667,$D$3=18),'ค่าบำรุงรักษา(ปี)'!BV8,IF(AND($D$2&lt;1667,$D$3=19),'ค่าบำรุงรักษา(ปี)'!BZ8,IF(AND($D$2&lt;1667,$D$3=20),'ค่าบำรุงรักษา(ปี)'!CD8,IF(AND($D$2&gt;=1667,$D$4&lt;30000),'ค่าบำรุงรักษา (ระยะทาง)'!G8,IF(AND($D$2&gt;=1667,$D$4&lt;40000),'ค่าบำรุงรักษา (ระยะทาง)'!I8,IF(AND($D$2&gt;=1667,$D$4&lt;50000),'ค่าบำรุงรักษา (ระยะทาง)'!K8,IF(AND($D$2&gt;=1667,$D$4&lt;60000),'ค่าบำรุงรักษา (ระยะทาง)'!M8,IF(AND($D$2&gt;=1667,$D$4&lt;70000),'ค่าบำรุงรักษา (ระยะทาง)'!O8,IF(AND($D$2&gt;=1667,$D$4&lt;80000),'ค่าบำรุงรักษา (ระยะทาง)'!Q8,IF(AND($D$2&gt;=1667,$D$4&lt;90000),'ค่าบำรุงรักษา (ระยะทาง)'!S8,IF(AND($D$2&gt;=1667,$D$4&lt;100000),'ค่าบำรุงรักษา (ระยะทาง)'!U8,IF(AND($D$2&gt;=1667,$D$4&lt;110000),'ค่าบำรุงรักษา (ระยะทาง)'!W8,IF(AND($D$2&gt;=1667,$D$4&lt;120000),'ค่าบำรุงรักษา (ระยะทาง)'!Y8,IF(AND($D$2&gt;=1667,$D$4&lt;130000),'ค่าบำรุงรักษา (ระยะทาง)'!AA8,IF(AND($D$2&gt;=1667,$D$4&lt;140000),'ค่าบำรุงรักษา (ระยะทาง)'!AC8,IF(AND($D$2&gt;=1667,$D$4&lt;150000),'ค่าบำรุงรักษา (ระยะทาง)'!AE8,IF(AND($D$2&gt;=1667,$D$4&lt;160000),'ค่าบำรุงรักษา (ระยะทาง)'!AG8,IF(AND($D$2&gt;=1667,$D$4&lt;170000),'ค่าบำรุงรักษา (ระยะทาง)'!AI8,IF(AND($D$2&gt;=1667,$D$4&lt;180000),'ค่าบำรุงรักษา (ระยะทาง)'!AK8,IF(AND($D$2&gt;=1667,$D$4&lt;190000),'ค่าบำรุงรักษา (ระยะทาง)'!AM8,IF(AND($D$2&gt;=1667,$D$4&lt;200000),'ค่าบำรุงรักษา (ระยะทาง)'!AO8,IF(AND($D$2&gt;=1667,$D$4&lt;210000),'ค่าบำรุงรักษา (ระยะทาง)'!AQ8,IF(AND($D$2&gt;=1667,$D$4&lt;220000),'ค่าบำรุงรักษา (ระยะทาง)'!AS8,IF(AND($D$2&gt;=1667,$D$4&lt;220000),'ค่าบำรุงรักษา (ระยะทาง)'!AU8,IF(AND($D$2&gt;=1667,$D$4&lt;240000),'ค่าบำรุงรักษา (ระยะทาง)'!AW8,IF(AND($D$2&gt;=1667,$D$4&lt;250000),'ค่าบำรุงรักษา (ระยะทาง)'!AY8,IF(AND($D$2&gt;=1667,$D$4&lt;260000),'ค่าบำรุงรักษา (ระยะทาง)'!BA8,IF(AND($D$2&gt;=1667,$D$4&lt;270000),'ค่าบำรุงรักษา (ระยะทาง)'!BC8,IF(AND($D$2&gt;=1667,$D$4&lt;280000),'ค่าบำรุงรักษา (ระยะทาง)'!BE8,IF(AND($D$2&gt;=1667,$D$4&lt;290000),'ค่าบำรุงรักษา (ระยะทาง)'!BG8,IF(AND($D$2&gt;=1667,$D$4&lt;300000),'ค่าบำรุงรักษา (ระยะทาง)'!BH6,IF(AND($D$2&gt;=1667,$D$4&lt;310000),'ค่าบำรุงรักษา (ระยะทาง)'!BK8,IF(AND($D$2&gt;=1667,$D$4&lt;320000),'ค่าบำรุงรักษา (ระยะทาง)'!BM8,IF(AND($D$2&gt;=1667,$D$4&lt;330000),'ค่าบำรุงรักษา (ระยะทาง)'!BO8,IF(AND($D$2&gt;=1667,$D$4&lt;340000),'ค่าบำรุงรักษา (ระยะทาง)'!BQ8,IF(AND($D$2&gt;=1667,$D$4&lt;350000),'ค่าบำรุงรักษา (ระยะทาง)'!BS8,IF(AND($D$2&gt;=1667,$D$4&lt;370000),'ค่าบำรุงรักษา (ระยะทาง)'!BW8,IF(AND($D$2&gt;=1667,$D$4&lt;380000),'ค่าบำรุงรักษา (ระยะทาง)'!BY8,IF(AND($D$2&gt;=1667,$D$4&lt;390000),'ค่าบำรุงรักษา (ระยะทาง)'!CA8,IF(AND($D$2&gt;=1667,$D$4&lt;400000),'ค่าบำรุงรักษา (ระยะทาง)'!CC8,IF(AND($D$2&gt;=1667,$D$4&lt;430000),'ค่าบำรุงรักษา (ระยะทาง)'!CI8,IF(AND($D$2&gt;=1667,$D$4&lt;440000),'ค่าบำรุงรักษา (ระยะทาง)'!CK8,IF(AND($D$2&gt;=1667,$D$4&lt;450000),'ค่าบำรุงรักษา (ระยะทาง)'!CM8,IF(AND($D$2&gt;=1667,$D$4&lt;460000),'ค่าบำรุงรักษา (ระยะทาง)'!CO8,IF(AND($D$2&gt;=1667,$D$4&lt;470000),'ค่าบำรุงรักษา (ระยะทาง)'!CQ8,IF(AND($D$2&gt;=1667,$D$4&lt;480000),'ค่าบำรุงรักษา (ระยะทาง)'!CS8,IF(AND($D$2&gt;=1667,$D$4&lt;490000),'ค่าบำรุงรักษา (ระยะทาง)'!CU8))))))))))))))))))))))))))))))))))))))))))))))))))))))))))))))))</f>
        <v>6300</v>
      </c>
      <c r="L11" s="55">
        <f t="shared" si="0"/>
        <v>53880</v>
      </c>
      <c r="M11" s="56">
        <f>C11+E11+F11+G11+H11+I11+J11+K11+L11</f>
        <v>1288370.21</v>
      </c>
    </row>
    <row r="12" spans="1:13" ht="24.6">
      <c r="A12" s="38" t="s">
        <v>33</v>
      </c>
      <c r="B12" s="54">
        <f>ค่าพลังงาน!B11</f>
        <v>15.5</v>
      </c>
      <c r="C12" s="55">
        <f>ราคาเริ่มต้น!B9</f>
        <v>789000</v>
      </c>
      <c r="D12" s="55">
        <f>IF($D$3=1,ราคาเริ่มต้น!D9,IF($D$3=2,ราคาเริ่มต้น!E9,IF($D$3=3,ราคาเริ่มต้น!F9,IF($D$3=4,ราคาเริ่มต้น!G9,IF($D$3=5,ราคาเริ่มต้น!H9,IF($D$3=6,ราคาเริ่มต้น!I9,IF($D$3=7,ราคาเริ่มต้น!J9,IF($D$3=8,ราคาเริ่มต้น!K9,IF($D$3=9,ราคาเริ่มต้น!L9,IF($D$3=10,ราคาเริ่มต้น!M9,IF($D$3=11,ราคาเริ่มต้น!N9,IF($D$3=12,ราคาเริ่มต้น!O9,IF($D$3=13,ราคาเริ่มต้น!P9,IF($D$3=14,ราคาเริ่มต้น!Q9,IF($D$3=15,ราคาเริ่มต้น!R9,IF($D$3=16,ราคาเริ่มต้น!S9,IF($D$3=17,ราคาเริ่มต้น!T9,IF($D$3=18,ราคาเริ่มต้น!U9,IF($D$3=19,ราคาเริ่มต้น!V9,IF($D$3=20,ราคาเริ่มต้น!W9))))))))))))))))))))</f>
        <v>670650</v>
      </c>
      <c r="E12" s="55">
        <f>IF($D$3=1,ภาษีประจำปี!C9,IF($D$3=2,ภาษีประจำปี!E9,IF($D$3=3,ภาษีประจำปี!F9,IF($D$3=4,ภาษีประจำปี!I9,IF($D$3=5,ภาษีประจำปี!K9,IF($D$3=6,ภาษีประจำปี!M9,IF($D$3=7,ภาษีประจำปี!O9,IF($D$3=8,ภาษีประจำปี!Q9,IF($D$3=9,ภาษีประจำปี!S9,IF($D$3=10,ภาษีประจำปี!U9,IF($D$3=11,ภาษีประจำปี!W9,IF($D$3=12,ภาษีประจำปี!Y9,IF($D$3=13,ภาษีประจำปี!AA9,IF($D$3=14,ภาษีประจำปี!AC9,IF($D$3=15,ภาษีประจำปี!AE9,IF($D$3=16,ภาษีประจำปี!AG9,IF($D$3=17,ภาษีประจำปี!AI9,IF($D$3=18,ภาษีประจำปี!AK9,IF($D$3=19,ภาษีประจำปี!AM9,IF($D$3=20,ภาษีประจำปี!AO9))))))))))))))))))))</f>
        <v>1650</v>
      </c>
      <c r="F12" s="55">
        <f>IF($D$3=1,ประกันภัยบังคับ!B9,IF($D$3=2,ประกันภัยบังคับ!C9,IF($D$3=3,ประกันภัยบังคับ!D9,IF($D$3=4,ประกันภัยบังคับ!E9,IF($D$3=5,ประกันภัยบังคับ!F9,IF($D$3=6,ประกันภัยบังคับ!G9,IF($D$3=7,ประกันภัยบังคับ!H9,IF($D$3=8,ประกันภัยบังคับ!I9,IF($D$3=9,ประกันภัยบังคับ!J9,IF($D$3=10,ประกันภัยบังคับ!K9,IF($D$3=11,ประกันภัยบังคับ!L9,IF($D$3=12,ประกันภัยบังคับ!M9,IF($D$3=13,ประกันภัยบังคับ!N9,IF($D$3=14,ประกันภัยบังคับ!O9,IF($D$3=15,ประกันภัยบังคับ!P9,IF($D$3=16,ประกันภัยบังคับ!Q9,IF($D$3=17,ประกันภัยบังคับ!R9,IF($D$3=18,ประกันภัยบังคับ!S9,IF($D$3=19,ประกันภัยบังคับ!T9,IF($D$3=20,ประกันภัยบังคับ!U9))))))))))))))))))))</f>
        <v>645.21</v>
      </c>
      <c r="G12" s="55">
        <f>IF($D$3=1,ประกันภัยชั้น1!C9,IF($D$3=2,ประกันภัยชั้น1!E9,IF($D$3=3,ประกันภัยชั้น1!G9,IF($D$3=4,ประกันภัยชั้น1!I9,IF($D$3=5,ประกันภัยชั้น1!K9,IF($D$3=6,ประกันภัยชั้น1!M9,IF($D$3=7,ประกันภัยชั้น1!O9,IF($D$3=8,ประกันภัยชั้น1!Q9,IF($D$3=9,ประกันภัยชั้น1!S9,IF($D$3=10,ประกันภัยชั้น1!U9,IF($D$3=11,ประกันภัยชั้น1!W9,IF($D$3=12,ประกันภัยชั้น1!Y9,IF($D$3=13,ประกันภัยชั้น1!AA9,IF($D$3=14,ประกันภัยชั้น1!AC9,IF($D$3=15,ประกันภัยชั้น1!AE9,IF($D$3=16,ประกันภัยชั้น1!AG9,IF($D$3=17,ประกันภัยชั้น1!AI9,IF($D$3=18,ประกันภัยชั้น1!AK9,IF($D$3=19,ประกันภัยชั้น1!AM9,IF($D$3=20,ประกันภัยชั้น1!AO9))))))))))))))))))))</f>
        <v>16500</v>
      </c>
      <c r="H12" s="55">
        <f>IF(AND($D$2&lt;1667,$D$3=1),'ยางรถ (ปี)'!B11,IF(AND($D$2&lt;1667,$D$3=2),'ยางรถ (ปี)'!C11,IF(AND($D$2&lt;1667,$D$3=3),'ยางรถ (ปี)'!D11,IF(AND($D$2&lt;1667,$D$3=4),'ยางรถ (ปี)'!D11,IF(AND($D$2&lt;1667,$D$3=5),'ยางรถ (ปี)'!D11,IF(AND($D$2&lt;1667,$D$3=6),'ยางรถ (ปี)'!G11,IF(AND($D$2&lt;1667,$D$3=7),'ยางรถ (ปี)'!G11,IF(AND($D$2&lt;1667,$D$3=8),'ยางรถ (ปี)'!G11,IF(AND($D$2&lt;1667,$D$3=9),'ยางรถ (ปี)'!J11,IF(AND($D$2&lt;1667,$D$3=10),'ยางรถ (ปี)'!J11,IF(AND($D$2&lt;1667,$D$3=11),'ยางรถ (ปี)'!J11,IF(AND($D$2&lt;1667,$D$3=12),'ยางรถ (ปี)'!M11,IF(AND($D$2&lt;1667,$D$3=13),'ยางรถ (ปี)'!M11,IF(AND($D$2&lt;1667,$D$3=14),'ยางรถ (ปี)'!M11,IF(AND($D$2&lt;1667,$D$3=15),'ยางรถ (ปี)'!P11,IF(AND($D$2&lt;1667,$D$3=16),'ยางรถ (ปี)'!P11,IF(AND($D$2&lt;1667,$D$3=17),'ยางรถ (ปี)'!P11,IF(AND($D$2&lt;1667,$D$3=18),'ยางรถ (ปี)'!S11,IF(AND($D$2&lt;1667,$D$3=19),'ยางรถ (ปี)'!S11,IF(AND($D$2&lt;1667,$D$3=20),'ยางรถ (ปี)'!S11,IF(AND($D$2&lt;1667,$D$3=21),'ยางรถ (ปี)'!V11,IF(AND($D$2&gt;=1667,$D$4&lt;50000),0,IF(AND($D$2&gt;=1667, $D$4&lt;100000),'ยางรถ(ระยะทาง)'!G9,IF(AND($D$2&gt;=1667, $D$4&lt;150000),'ยางรถ(ระยะทาง)'!M9,IF(AND($D$2&gt;=1667, $D$4&lt;200000),'ยางรถ(ระยะทาง)'!S9,IF(AND($D$2&gt;=1667, $D$4&lt;250000),'ยางรถ(ระยะทาง)'!Y9,IF(AND($D$2&gt;=1667, $D$4&lt;300000),'ยางรถ(ระยะทาง)'!AF9,IF(AND($D$2&gt;=1667, $D$4&lt;350000),'ยางรถ(ระยะทาง)'!AL9,IF(AND($D$2&gt;=1667, $D$4&lt;400000),'ยางรถ(ระยะทาง)'!AR9,IF(AND($D$2&gt;=1667, $D$4&lt;450000),'ยางรถ(ระยะทาง)'!AX9,IF(AND($D$2&gt;=1667, $D$4&lt;500000),'ยางรถ(ระยะทาง)'!BD9,IF(AND($D$2&gt;=1667, $D$4&lt;550000),'ยางรถ(ระยะทาง)'!BJ9,IF(AND($D$2&gt;=1667, $D$4&lt;600000),'ยางรถ(ระยะทาง)'!BL9,IF(AND($D$2&gt;=1667, $D$4&lt;650000),'ยางรถ(ระยะทาง)'!BN9,IF(AND($D$2&gt;=1667, $D$4&lt;700000),'ยางรถ(ระยะทาง)'!BP9,IF(AND($D$2&gt;=1667, $D$4&lt;750000),'ยางรถ(ระยะทาง)'!BR9,IF(AND($D$2&gt;=1667, $D$4&lt;800000),'ยางรถ(ระยะทาง)'!BV9)))))))))))))))))))))))))))))))))))))</f>
        <v>0</v>
      </c>
      <c r="I12" s="55">
        <f>IF(AND($D$2&lt;1667,$D$3=1),'แบตเตอร์รี่ (ปี)'!B9,IF(AND($D$2&lt;1667,$D$3=2),'แบตเตอร์รี่ (ปี)'!C9,IF(AND($D$2&lt;1667,$D$3=3),'แบตเตอร์รี่ (ปี)'!C9,IF(AND($D$2&lt;1667,$D$3=4),'แบตเตอร์รี่ (ปี)'!E9,IF(AND($D$2&lt;1667,$D$3=5),'แบตเตอร์รี่ (ปี)'!E9,IF(AND($D$2&lt;1667,$D$3=6),'แบตเตอร์รี่ (ปี)'!G9,IF(AND($D$2&lt;1667,$D$3=7),'แบตเตอร์รี่ (ปี)'!G9,IF(AND($D$2&lt;1667,$D$3=8),'แบตเตอร์รี่ (ปี)'!I9,IF(AND($D$2&lt;1667,$D$3=9),'แบตเตอร์รี่ (ปี)'!I9,IF(AND($D$2&lt;1667,$D$3=10),'แบตเตอร์รี่ (ปี)'!K9,IF(AND($D$2&lt;1667,$D$3=11),'แบตเตอร์รี่ (ปี)'!K9,IF(AND($D$2&lt;1667,$D$3=12),'แบตเตอร์รี่ (ปี)'!M9,IF(AND($D$2&lt;1667,$D$3=13),'แบตเตอร์รี่ (ปี)'!M9,IF(AND($D$2&lt;1667,$D$3=14),'แบตเตอร์รี่ (ปี)'!O9,IF(AND($D$2&lt;1667,$D$3=15),'แบตเตอร์รี่ (ปี)'!O9,IF(AND($D$2&lt;1667,$D$3=16),'แบตเตอร์รี่ (ปี)'!Q9,IF(AND($D$2&lt;1667,$D$3=17),'แบตเตอร์รี่ (ปี)'!Q9,IF(AND($D$2&lt;1667,$D$3=18),'แบตเตอร์รี่ (ปี)'!S9,IF(AND($D$2&lt;1667,$D$3=19),'แบตเตอร์รี่ (ปี)'!S9,IF(AND($D$2&lt;1667,$D$3=20),'แบตเตอร์รี่ (ปี)'!U9,IF(AND($D$2&gt;=1667,$D$4&lt;40000),0,IF(AND($D$2&gt;=1667,$D$4&lt;80000),'แบตเตอรี(ระยะทาง) '!E9,IF(AND($D$2&gt;=1667,$D$4&lt;120000),'แบตเตอรี(ระยะทาง) '!I9,IF(AND($D$2&gt;=1667,$D$4&lt;160000),'แบตเตอรี(ระยะทาง) '!M9,IF(AND($D$2&gt;=1667,$D$4&lt;200000),'แบตเตอรี(ระยะทาง) '!Q9,IF(AND($D$2&gt;=1667,$D$4&lt;240000),'แบตเตอรี(ระยะทาง) '!E9,IF(AND($D$2&gt;=1667,$D$4&lt;280000),'แบตเตอรี(ระยะทาง) '!Y9,IF(AND($D$2&gt;=1667,$D$4&lt;320000),'แบตเตอรี(ระยะทาง) '!AC9,IF(AND($D$2&gt;=1667,$D$4&lt;360000),'แบตเตอรี(ระยะทาง) '!AG9,IF(AND($D$2&gt;=1667,$D$4&lt;400000),'แบตเตอรี(ระยะทาง) '!AK9,IF(AND($D$2&gt;=1667,$D$4&lt;440000),'แบตเตอรี(ระยะทาง) '!AO9,IF(AND($D$2&gt;=1667,$D$4&lt;480000),'แบตเตอรี(ระยะทาง) '!AS9,IF(AND($D$2&gt;=1667,$D$4&lt;50000),'แบตเตอรี(ระยะทาง) '!AW9,)))))))))))))))))))))))))))))))))</f>
        <v>0</v>
      </c>
      <c r="J12" s="55">
        <f>IF(AND($D$2&lt;1667,$D$3=1),'แบตเตอรีไฟฟ้า (ปี)'!B9,IF(AND($D$2&lt;1667,$D$3=2),'แบตเตอรีไฟฟ้า (ปี)'!C9,IF(AND($D$2&lt;1667,$D$3=3),'แบตเตอรีไฟฟ้า (ปี)'!D9,IF(AND($D$2&lt;1667,$D$3=4),'แบตเตอรีไฟฟ้า (ปี)'!E9,IF(AND($D$2&lt;1667,$D$3=5),'แบตเตอรีไฟฟ้า (ปี)'!F9,IF(AND($D$2&lt;1667,$D$3=6),'แบตเตอรีไฟฟ้า (ปี)'!G9,IF(AND($D$2&lt;1667,$D$3=7),'แบตเตอรีไฟฟ้า (ปี)'!H9,IF(AND($D$2&lt;1667,$D$3=8),'แบตเตอรีไฟฟ้า (ปี)'!I9,IF(AND($D$2&lt;1667,$D$3=9),'แบตเตอรีไฟฟ้า (ปี)'!I9,IF(AND($D$2&lt;1667,$D$3=10),'แบตเตอรีไฟฟ้า (ปี)'!K9,IF(AND($D$2&lt;1667,$D$3=11),'แบตเตอรีไฟฟ้า (ปี)'!I9,IF(AND($D$2&lt;1667,$D$3=12),'แบตเตอรีไฟฟ้า (ปี)'!I9,IF(AND($D$2&lt;1667,$D$3=13),'แบตเตอรีไฟฟ้า (ปี)'!I9,IF(AND($D$2&lt;1667,$D$3=14),'แบตเตอรีไฟฟ้า (ปี)'!I9,IF(AND($D$2&lt;1667,$D$3=15),'แบตเตอรีไฟฟ้า (ปี)'!I9,IF(AND($D$2&lt;1667,$D$3=16),'แบตเตอรีไฟฟ้า (ปี)'!Q9,IF(AND($D$2&lt;1667,$D$3=17),'แบตเตอรีไฟฟ้า (ปี)'!Q9,IF(AND($D$2&lt;1667,$D$3=18),'แบตเตอรีไฟฟ้า (ปี)'!Q9,IF(AND($D$2&lt;1667,$D$3=19),'แบตเตอรีไฟฟ้า (ปี)'!Q9,IF(AND($D$2&lt;1667,$D$3=20),'แบตเตอรีไฟฟ้า (ปี)'!Q9,IF(AND($D$2&gt;=1667,$D$4&lt;170000),0,IF(AND($D$2&gt;=1667,$D$4&lt;340000),'แบตเตอรีรถไฟฟ้า(ระยะทาง)'!R9,IF(AND($D$2&gt;=1667,$D$4&lt;510000),'แบตเตอรีรถไฟฟ้า(ระยะทาง)'!AI9,)))))))))))))))))))))))</f>
        <v>0</v>
      </c>
      <c r="K12" s="55">
        <f>IF(AND($D$2&lt;1667,$D$3=1),'ค่าบำรุงรักษา(ปี)'!F9,IF(AND($D$2&lt;1667,$D$3=2),'ค่าบำรุงรักษา(ปี)'!J9,IF(AND($D$2&lt;1667,$D$3=3),'ค่าบำรุงรักษา(ปี)'!N9,IF(AND($D$2&lt;1667,$D$3=4),'ค่าบำรุงรักษา(ปี)'!R9,IF(AND($D$2&lt;1667,$D$3=5),'ค่าบำรุงรักษา(ปี)'!V9,IF(AND($D$2&lt;1667,$D$3=6),'ค่าบำรุงรักษา(ปี)'!Z9,IF(AND($D$2&lt;1667,$D$3=7),'ค่าบำรุงรักษา(ปี)'!AD9,IF(AND($D$2&lt;1667,$D$3=8),'ค่าบำรุงรักษา(ปี)'!AH9,IF(AND($D$2&lt;1667,$D$3=9),'ค่าบำรุงรักษา(ปี)'!AL9,IF(AND($D$2&lt;1667,$D$3=10),'ค่าบำรุงรักษา(ปี)'!AP9,IF(AND($D$2&lt;1667,$D$3=11),'ค่าบำรุงรักษา(ปี)'!AT9,IF(AND($D$2&lt;1667,$D$3=12),'ค่าบำรุงรักษา(ปี)'!AX9,IF(AND($D$2&lt;1667,$D$3=13),'ค่าบำรุงรักษา(ปี)'!BB9,IF(AND($D$2&lt;1667,$D$3=14),'ค่าบำรุงรักษา(ปี)'!BF9,IF(AND($D$2&lt;1667,$D$3=15),'ค่าบำรุงรักษา(ปี)'!BJ9,IF(AND($D$2&lt;1667,$D$3=16),'ค่าบำรุงรักษา(ปี)'!BN9,IF(AND($D$2&lt;1667,$D$3=17),'ค่าบำรุงรักษา(ปี)'!BR9,IF(AND($D$2&lt;1667,$D$3=18),'ค่าบำรุงรักษา(ปี)'!BV9,IF(AND($D$2&lt;1667,$D$3=19),'ค่าบำรุงรักษา(ปี)'!BZ9,IF(AND($D$2&lt;1667,$D$3=20),'ค่าบำรุงรักษา(ปี)'!CD9,IF(AND($D$2&gt;=1667,$D$4&lt;30000),'ค่าบำรุงรักษา (ระยะทาง)'!G9,IF(AND($D$2&gt;=1667,$D$4&lt;40000),'ค่าบำรุงรักษา (ระยะทาง)'!I9,IF(AND($D$2&gt;=1667,$D$4&lt;50000),'ค่าบำรุงรักษา (ระยะทาง)'!K9,IF(AND($D$2&gt;=1667,$D$4&lt;60000),'ค่าบำรุงรักษา (ระยะทาง)'!M9,IF(AND($D$2&gt;=1667,$D$4&lt;70000),'ค่าบำรุงรักษา (ระยะทาง)'!O9,IF(AND($D$2&gt;=1667,$D$4&lt;80000),'ค่าบำรุงรักษา (ระยะทาง)'!Q9,IF(AND($D$2&gt;=1667,$D$4&lt;90000),'ค่าบำรุงรักษา (ระยะทาง)'!S9,IF(AND($D$2&gt;=1667,$D$4&lt;100000),'ค่าบำรุงรักษา (ระยะทาง)'!U9,IF(AND($D$2&gt;=1667,$D$4&lt;110000),'ค่าบำรุงรักษา (ระยะทาง)'!W9,IF(AND($D$2&gt;=1667,$D$4&lt;120000),'ค่าบำรุงรักษา (ระยะทาง)'!Y9,IF(AND($D$2&gt;=1667,$D$4&lt;130000),'ค่าบำรุงรักษา (ระยะทาง)'!AA9,IF(AND($D$2&gt;=1667,$D$4&lt;140000),'ค่าบำรุงรักษา (ระยะทาง)'!AC9,IF(AND($D$2&gt;=1667,$D$4&lt;150000),'ค่าบำรุงรักษา (ระยะทาง)'!AE9,IF(AND($D$2&gt;=1667,$D$4&lt;160000),'ค่าบำรุงรักษา (ระยะทาง)'!AG9,IF(AND($D$2&gt;=1667,$D$4&lt;170000),'ค่าบำรุงรักษา (ระยะทาง)'!AI9,IF(AND($D$2&gt;=1667,$D$4&lt;180000),'ค่าบำรุงรักษา (ระยะทาง)'!AK9,IF(AND($D$2&gt;=1667,$D$4&lt;190000),'ค่าบำรุงรักษา (ระยะทาง)'!AM9,IF(AND($D$2&gt;=1667,$D$4&lt;200000),'ค่าบำรุงรักษา (ระยะทาง)'!AO9,IF(AND($D$2&gt;=1667,$D$4&lt;210000),'ค่าบำรุงรักษา (ระยะทาง)'!AQ9,IF(AND($D$2&gt;=1667,$D$4&lt;220000),'ค่าบำรุงรักษา (ระยะทาง)'!AS9,IF(AND($D$2&gt;=1667,$D$4&lt;220000),'ค่าบำรุงรักษา (ระยะทาง)'!AU9,IF(AND($D$2&gt;=1667,$D$4&lt;240000),'ค่าบำรุงรักษา (ระยะทาง)'!AW9,IF(AND($D$2&gt;=1667,$D$4&lt;250000),'ค่าบำรุงรักษา (ระยะทาง)'!AY9,IF(AND($D$2&gt;=1667,$D$4&lt;260000),'ค่าบำรุงรักษา (ระยะทาง)'!BA9,IF(AND($D$2&gt;=1667,$D$4&lt;270000),'ค่าบำรุงรักษา (ระยะทาง)'!BC9,IF(AND($D$2&gt;=1667,$D$4&lt;280000),'ค่าบำรุงรักษา (ระยะทาง)'!BE9,IF(AND($D$2&gt;=1667,$D$4&lt;290000),'ค่าบำรุงรักษา (ระยะทาง)'!BG9,IF(AND($D$2&gt;=1667,$D$4&lt;300000),'ค่าบำรุงรักษา (ระยะทาง)'!BH7,IF(AND($D$2&gt;=1667,$D$4&lt;310000),'ค่าบำรุงรักษา (ระยะทาง)'!BK9,IF(AND($D$2&gt;=1667,$D$4&lt;320000),'ค่าบำรุงรักษา (ระยะทาง)'!BM9,IF(AND($D$2&gt;=1667,$D$4&lt;330000),'ค่าบำรุงรักษา (ระยะทาง)'!BO9,IF(AND($D$2&gt;=1667,$D$4&lt;340000),'ค่าบำรุงรักษา (ระยะทาง)'!BQ9,IF(AND($D$2&gt;=1667,$D$4&lt;350000),'ค่าบำรุงรักษา (ระยะทาง)'!BS9,IF(AND($D$2&gt;=1667,$D$4&lt;370000),'ค่าบำรุงรักษา (ระยะทาง)'!BW9,IF(AND($D$2&gt;=1667,$D$4&lt;380000),'ค่าบำรุงรักษา (ระยะทาง)'!BY9,IF(AND($D$2&gt;=1667,$D$4&lt;390000),'ค่าบำรุงรักษา (ระยะทาง)'!CA9,IF(AND($D$2&gt;=1667,$D$4&lt;400000),'ค่าบำรุงรักษา (ระยะทาง)'!CC9,IF(AND($D$2&gt;=1667,$D$4&lt;430000),'ค่าบำรุงรักษา (ระยะทาง)'!CI9,IF(AND($D$2&gt;=1667,$D$4&lt;440000),'ค่าบำรุงรักษา (ระยะทาง)'!CK9,IF(AND($D$2&gt;=1667,$D$4&lt;450000),'ค่าบำรุงรักษา (ระยะทาง)'!CM9,IF(AND($D$2&gt;=1667,$D$4&lt;460000),'ค่าบำรุงรักษา (ระยะทาง)'!CO9,IF(AND($D$2&gt;=1667,$D$4&lt;470000),'ค่าบำรุงรักษา (ระยะทาง)'!CQ9,IF(AND($D$2&gt;=1667,$D$4&lt;480000),'ค่าบำรุงรักษา (ระยะทาง)'!CS9,IF(AND($D$2&gt;=1667,$D$4&lt;490000),'ค่าบำรุงรักษา (ระยะทาง)'!CU9))))))))))))))))))))))))))))))))))))))))))))))))))))))))))))))))</f>
        <v>3700</v>
      </c>
      <c r="L12" s="55">
        <f t="shared" si="0"/>
        <v>52141.93548387097</v>
      </c>
      <c r="M12" s="56">
        <f t="shared" si="1"/>
        <v>863637.14548387099</v>
      </c>
    </row>
    <row r="13" spans="1:13" ht="24.6">
      <c r="A13" s="38" t="s">
        <v>152</v>
      </c>
      <c r="B13" s="54">
        <f>ค่าพลังงาน!B12</f>
        <v>17</v>
      </c>
      <c r="C13" s="55">
        <f>ราคาเริ่มต้น!B10</f>
        <v>749000</v>
      </c>
      <c r="D13" s="55">
        <f>IF($D$3=1,ราคาเริ่มต้น!D10,IF($D$3=2,ราคาเริ่มต้น!E10,IF($D$3=3,ราคาเริ่มต้น!F10,IF($D$3=4,ราคาเริ่มต้น!G10,IF($D$3=5,ราคาเริ่มต้น!H10,IF($D$3=6,ราคาเริ่มต้น!I10,IF($D$3=7,ราคาเริ่มต้น!J10,IF($D$3=8,ราคาเริ่มต้น!K10,IF($D$3=9,ราคาเริ่มต้น!L10,IF($D$3=10,ราคาเริ่มต้น!M10,IF($D$3=11,ราคาเริ่มต้น!N10,IF($D$3=12,ราคาเริ่มต้น!O10,IF($D$3=13,ราคาเริ่มต้น!P10,IF($D$3=14,ราคาเริ่มต้น!Q10,IF($D$3=15,ราคาเริ่มต้น!R10,IF($D$3=16,ราคาเริ่มต้น!S10,IF($D$3=17,ราคาเริ่มต้น!T10,IF($D$3=18,ราคาเริ่มต้น!U10,IF($D$3=19,ราคาเริ่มต้น!V10,IF($D$3=20,ราคาเริ่มต้น!W10))))))))))))))))))))</f>
        <v>632905</v>
      </c>
      <c r="E13" s="55">
        <f>IF($D$3=1,ภาษีประจำปี!C10,IF($D$3=2,ภาษีประจำปี!E10,IF($D$3=3,ภาษีประจำปี!F10,IF($D$3=4,ภาษีประจำปี!I10,IF($D$3=5,ภาษีประจำปี!K10,IF($D$3=6,ภาษีประจำปี!M10,IF($D$3=7,ภาษีประจำปี!O10,IF($D$3=8,ภาษีประจำปี!Q10,IF($D$3=9,ภาษีประจำปี!S10,IF($D$3=10,ภาษีประจำปี!U10,IF($D$3=11,ภาษีประจำปี!W10,IF($D$3=12,ภาษีประจำปี!Y10,IF($D$3=13,ภาษีประจำปี!AA10,IF($D$3=14,ภาษีประจำปี!AC10,IF($D$3=15,ภาษีประจำปี!AE10,IF($D$3=16,ภาษีประจำปี!AG10,IF($D$3=17,ภาษีประจำปี!AI10,IF($D$3=18,ภาษีประจำปี!AK10,IF($D$3=19,ภาษีประจำปี!AM10,IF($D$3=20,ภาษีประจำปี!AO10))))))))))))))))))))</f>
        <v>1647</v>
      </c>
      <c r="F13" s="55">
        <f>IF($D$3=1,ประกันภัยบังคับ!B10,IF($D$3=2,ประกันภัยบังคับ!C10,IF($D$3=3,ประกันภัยบังคับ!D10,IF($D$3=4,ประกันภัยบังคับ!E10,IF($D$3=5,ประกันภัยบังคับ!F10,IF($D$3=6,ประกันภัยบังคับ!G10,IF($D$3=7,ประกันภัยบังคับ!H10,IF($D$3=8,ประกันภัยบังคับ!I10,IF($D$3=9,ประกันภัยบังคับ!J10,IF($D$3=10,ประกันภัยบังคับ!K10,IF($D$3=11,ประกันภัยบังคับ!L10,IF($D$3=12,ประกันภัยบังคับ!M10,IF($D$3=13,ประกันภัยบังคับ!N10,IF($D$3=14,ประกันภัยบังคับ!O10,IF($D$3=15,ประกันภัยบังคับ!P10,IF($D$3=16,ประกันภัยบังคับ!Q10,IF($D$3=17,ประกันภัยบังคับ!R10,IF($D$3=18,ประกันภัยบังคับ!S10,IF($D$3=19,ประกันภัยบังคับ!T10,IF($D$3=20,ประกันภัยบังคับ!U10))))))))))))))))))))</f>
        <v>645.21</v>
      </c>
      <c r="G13" s="55">
        <f>IF($D$3=1,ประกันภัยชั้น1!C10,IF($D$3=2,ประกันภัยชั้น1!E10,IF($D$3=3,ประกันภัยชั้น1!G10,IF($D$3=4,ประกันภัยชั้น1!I10,IF($D$3=5,ประกันภัยชั้น1!K10,IF($D$3=6,ประกันภัยชั้น1!M10,IF($D$3=7,ประกันภัยชั้น1!O10,IF($D$3=8,ประกันภัยชั้น1!Q10,IF($D$3=9,ประกันภัยชั้น1!S10,IF($D$3=10,ประกันภัยชั้น1!U10,IF($D$3=11,ประกันภัยชั้น1!W10,IF($D$3=12,ประกันภัยชั้น1!Y10,IF($D$3=13,ประกันภัยชั้น1!AA10,IF($D$3=14,ประกันภัยชั้น1!AC10,IF($D$3=15,ประกันภัยชั้น1!AE10,IF($D$3=16,ประกันภัยชั้น1!AG10,IF($D$3=17,ประกันภัยชั้น1!AI10,IF($D$3=18,ประกันภัยชั้น1!AK10,IF($D$3=19,ประกันภัยชั้น1!AM10,IF($D$3=20,ประกันภัยชั้น1!AO10))))))))))))))))))))</f>
        <v>20000</v>
      </c>
      <c r="H13" s="55">
        <f>IF(AND($D$2&lt;1667,$D$3=1),'ยางรถ (ปี)'!B12,IF(AND($D$2&lt;1667,$D$3=2),'ยางรถ (ปี)'!C12,IF(AND($D$2&lt;1667,$D$3=3),'ยางรถ (ปี)'!D12,IF(AND($D$2&lt;1667,$D$3=4),'ยางรถ (ปี)'!D12,IF(AND($D$2&lt;1667,$D$3=5),'ยางรถ (ปี)'!D12,IF(AND($D$2&lt;1667,$D$3=6),'ยางรถ (ปี)'!G12,IF(AND($D$2&lt;1667,$D$3=7),'ยางรถ (ปี)'!G12,IF(AND($D$2&lt;1667,$D$3=8),'ยางรถ (ปี)'!G12,IF(AND($D$2&lt;1667,$D$3=9),'ยางรถ (ปี)'!J12,IF(AND($D$2&lt;1667,$D$3=10),'ยางรถ (ปี)'!J12,IF(AND($D$2&lt;1667,$D$3=11),'ยางรถ (ปี)'!J12,IF(AND($D$2&lt;1667,$D$3=12),'ยางรถ (ปี)'!M12,IF(AND($D$2&lt;1667,$D$3=13),'ยางรถ (ปี)'!M12,IF(AND($D$2&lt;1667,$D$3=14),'ยางรถ (ปี)'!M12,IF(AND($D$2&lt;1667,$D$3=15),'ยางรถ (ปี)'!P12,IF(AND($D$2&lt;1667,$D$3=16),'ยางรถ (ปี)'!P12,IF(AND($D$2&lt;1667,$D$3=17),'ยางรถ (ปี)'!P12,IF(AND($D$2&lt;1667,$D$3=18),'ยางรถ (ปี)'!S12,IF(AND($D$2&lt;1667,$D$3=19),'ยางรถ (ปี)'!S12,IF(AND($D$2&lt;1667,$D$3=20),'ยางรถ (ปี)'!S12,IF(AND($D$2&lt;1667,$D$3=21),'ยางรถ (ปี)'!V12,IF(AND($D$2&gt;=1667,$D$4&lt;50000),0,IF(AND($D$2&gt;=1667, $D$4&lt;100000),'ยางรถ(ระยะทาง)'!G10,IF(AND($D$2&gt;=1667, $D$4&lt;150000),'ยางรถ(ระยะทาง)'!M10,IF(AND($D$2&gt;=1667, $D$4&lt;200000),'ยางรถ(ระยะทาง)'!S10,IF(AND($D$2&gt;=1667, $D$4&lt;250000),'ยางรถ(ระยะทาง)'!Y10,IF(AND($D$2&gt;=1667, $D$4&lt;300000),'ยางรถ(ระยะทาง)'!AF10,IF(AND($D$2&gt;=1667, $D$4&lt;350000),'ยางรถ(ระยะทาง)'!AL10,IF(AND($D$2&gt;=1667, $D$4&lt;400000),'ยางรถ(ระยะทาง)'!AR10,IF(AND($D$2&gt;=1667, $D$4&lt;450000),'ยางรถ(ระยะทาง)'!AX10,IF(AND($D$2&gt;=1667, $D$4&lt;500000),'ยางรถ(ระยะทาง)'!BD10,IF(AND($D$2&gt;=1667, $D$4&lt;550000),'ยางรถ(ระยะทาง)'!BJ10,IF(AND($D$2&gt;=1667, $D$4&lt;600000),'ยางรถ(ระยะทาง)'!BL10,IF(AND($D$2&gt;=1667, $D$4&lt;650000),'ยางรถ(ระยะทาง)'!BN10,IF(AND($D$2&gt;=1667, $D$4&lt;700000),'ยางรถ(ระยะทาง)'!BP10,IF(AND($D$2&gt;=1667, $D$4&lt;750000),'ยางรถ(ระยะทาง)'!BR10,IF(AND($D$2&gt;=1667, $D$4&lt;800000),'ยางรถ(ระยะทาง)'!BV10)))))))))))))))))))))))))))))))))))))</f>
        <v>0</v>
      </c>
      <c r="I13" s="55">
        <f>IF(AND($D$2&lt;1667,$D$3=1),'แบตเตอร์รี่ (ปี)'!B10,IF(AND($D$2&lt;1667,$D$3=2),'แบตเตอร์รี่ (ปี)'!C10,IF(AND($D$2&lt;1667,$D$3=3),'แบตเตอร์รี่ (ปี)'!C10,IF(AND($D$2&lt;1667,$D$3=4),'แบตเตอร์รี่ (ปี)'!E10,IF(AND($D$2&lt;1667,$D$3=5),'แบตเตอร์รี่ (ปี)'!E10,IF(AND($D$2&lt;1667,$D$3=6),'แบตเตอร์รี่ (ปี)'!G10,IF(AND($D$2&lt;1667,$D$3=7),'แบตเตอร์รี่ (ปี)'!G10,IF(AND($D$2&lt;1667,$D$3=8),'แบตเตอร์รี่ (ปี)'!I10,IF(AND($D$2&lt;1667,$D$3=9),'แบตเตอร์รี่ (ปี)'!I10,IF(AND($D$2&lt;1667,$D$3=10),'แบตเตอร์รี่ (ปี)'!K10,IF(AND($D$2&lt;1667,$D$3=11),'แบตเตอร์รี่ (ปี)'!K10,IF(AND($D$2&lt;1667,$D$3=12),'แบตเตอร์รี่ (ปี)'!M10,IF(AND($D$2&lt;1667,$D$3=13),'แบตเตอร์รี่ (ปี)'!M10,IF(AND($D$2&lt;1667,$D$3=14),'แบตเตอร์รี่ (ปี)'!O10,IF(AND($D$2&lt;1667,$D$3=15),'แบตเตอร์รี่ (ปี)'!O10,IF(AND($D$2&lt;1667,$D$3=16),'แบตเตอร์รี่ (ปี)'!Q10,IF(AND($D$2&lt;1667,$D$3=17),'แบตเตอร์รี่ (ปี)'!Q10,IF(AND($D$2&lt;1667,$D$3=18),'แบตเตอร์รี่ (ปี)'!S10,IF(AND($D$2&lt;1667,$D$3=19),'แบตเตอร์รี่ (ปี)'!S10,IF(AND($D$2&lt;1667,$D$3=20),'แบตเตอร์รี่ (ปี)'!U10,IF(AND($D$2&gt;=1667,$D$4&lt;40000),0,IF(AND($D$2&gt;=1667,$D$4&lt;80000),'แบตเตอรี(ระยะทาง) '!E10,IF(AND($D$2&gt;=1667,$D$4&lt;120000),'แบตเตอรี(ระยะทาง) '!I10,IF(AND($D$2&gt;=1667,$D$4&lt;160000),'แบตเตอรี(ระยะทาง) '!M10,IF(AND($D$2&gt;=1667,$D$4&lt;200000),'แบตเตอรี(ระยะทาง) '!Q10,IF(AND($D$2&gt;=1667,$D$4&lt;240000),'แบตเตอรี(ระยะทาง) '!E10,IF(AND($D$2&gt;=1667,$D$4&lt;280000),'แบตเตอรี(ระยะทาง) '!Y10,IF(AND($D$2&gt;=1667,$D$4&lt;320000),'แบตเตอรี(ระยะทาง) '!AC10,IF(AND($D$2&gt;=1667,$D$4&lt;360000),'แบตเตอรี(ระยะทาง) '!AG10,IF(AND($D$2&gt;=1667,$D$4&lt;400000),'แบตเตอรี(ระยะทาง) '!AK10,IF(AND($D$2&gt;=1667,$D$4&lt;440000),'แบตเตอรี(ระยะทาง) '!AO10,IF(AND($D$2&gt;=1667,$D$4&lt;480000),'แบตเตอรี(ระยะทาง) '!AS10,IF(AND($D$2&gt;=1667,$D$4&lt;50000),'แบตเตอรี(ระยะทาง) '!AW10,)))))))))))))))))))))))))))))))))</f>
        <v>0</v>
      </c>
      <c r="J13" s="55">
        <f>IF(AND($D$2&lt;1667,$D$3=1),'แบตเตอรีไฟฟ้า (ปี)'!B10,IF(AND($D$2&lt;1667,$D$3=2),'แบตเตอรีไฟฟ้า (ปี)'!C10,IF(AND($D$2&lt;1667,$D$3=3),'แบตเตอรีไฟฟ้า (ปี)'!D10,IF(AND($D$2&lt;1667,$D$3=4),'แบตเตอรีไฟฟ้า (ปี)'!E10,IF(AND($D$2&lt;1667,$D$3=5),'แบตเตอรีไฟฟ้า (ปี)'!F10,IF(AND($D$2&lt;1667,$D$3=6),'แบตเตอรีไฟฟ้า (ปี)'!G10,IF(AND($D$2&lt;1667,$D$3=7),'แบตเตอรีไฟฟ้า (ปี)'!H10,IF(AND($D$2&lt;1667,$D$3=8),'แบตเตอรีไฟฟ้า (ปี)'!I10,IF(AND($D$2&lt;1667,$D$3=9),'แบตเตอรีไฟฟ้า (ปี)'!I10,IF(AND($D$2&lt;1667,$D$3=10),'แบตเตอรีไฟฟ้า (ปี)'!K10,IF(AND($D$2&lt;1667,$D$3=11),'แบตเตอรีไฟฟ้า (ปี)'!I10,IF(AND($D$2&lt;1667,$D$3=12),'แบตเตอรีไฟฟ้า (ปี)'!I10,IF(AND($D$2&lt;1667,$D$3=13),'แบตเตอรีไฟฟ้า (ปี)'!I10,IF(AND($D$2&lt;1667,$D$3=14),'แบตเตอรีไฟฟ้า (ปี)'!I10,IF(AND($D$2&lt;1667,$D$3=15),'แบตเตอรีไฟฟ้า (ปี)'!I10,IF(AND($D$2&lt;1667,$D$3=16),'แบตเตอรีไฟฟ้า (ปี)'!Q10,IF(AND($D$2&lt;1667,$D$3=17),'แบตเตอรีไฟฟ้า (ปี)'!Q10,IF(AND($D$2&lt;1667,$D$3=18),'แบตเตอรีไฟฟ้า (ปี)'!Q10,IF(AND($D$2&lt;1667,$D$3=19),'แบตเตอรีไฟฟ้า (ปี)'!Q10,IF(AND($D$2&lt;1667,$D$3=20),'แบตเตอรีไฟฟ้า (ปี)'!Q10,IF(AND($D$2&gt;=1667,$D$4&lt;170000),0,IF(AND($D$2&gt;=1667,$D$4&lt;340000),'แบตเตอรีรถไฟฟ้า(ระยะทาง)'!R10,IF(AND($D$2&gt;=1667,$D$4&lt;510000),'แบตเตอรีรถไฟฟ้า(ระยะทาง)'!AI10,)))))))))))))))))))))))</f>
        <v>0</v>
      </c>
      <c r="K13" s="55">
        <f>IF(AND($D$2&lt;1667,$D$3=1),'ค่าบำรุงรักษา(ปี)'!F10,IF(AND($D$2&lt;1667,$D$3=2),'ค่าบำรุงรักษา(ปี)'!J10,IF(AND($D$2&lt;1667,$D$3=3),'ค่าบำรุงรักษา(ปี)'!N10,IF(AND($D$2&lt;1667,$D$3=4),'ค่าบำรุงรักษา(ปี)'!R10,IF(AND($D$2&lt;1667,$D$3=5),'ค่าบำรุงรักษา(ปี)'!V10,IF(AND($D$2&lt;1667,$D$3=6),'ค่าบำรุงรักษา(ปี)'!Z10,IF(AND($D$2&lt;1667,$D$3=7),'ค่าบำรุงรักษา(ปี)'!AD10,IF(AND($D$2&lt;1667,$D$3=8),'ค่าบำรุงรักษา(ปี)'!AH10,IF(AND($D$2&lt;1667,$D$3=9),'ค่าบำรุงรักษา(ปี)'!AL10,IF(AND($D$2&lt;1667,$D$3=10),'ค่าบำรุงรักษา(ปี)'!AP10,IF(AND($D$2&lt;1667,$D$3=11),'ค่าบำรุงรักษา(ปี)'!AT10,IF(AND($D$2&lt;1667,$D$3=12),'ค่าบำรุงรักษา(ปี)'!AX10,IF(AND($D$2&lt;1667,$D$3=13),'ค่าบำรุงรักษา(ปี)'!BB10,IF(AND($D$2&lt;1667,$D$3=14),'ค่าบำรุงรักษา(ปี)'!BF10,IF(AND($D$2&lt;1667,$D$3=15),'ค่าบำรุงรักษา(ปี)'!BJ10,IF(AND($D$2&lt;1667,$D$3=16),'ค่าบำรุงรักษา(ปี)'!BN10,IF(AND($D$2&lt;1667,$D$3=17),'ค่าบำรุงรักษา(ปี)'!BR10,IF(AND($D$2&lt;1667,$D$3=18),'ค่าบำรุงรักษา(ปี)'!BV10,IF(AND($D$2&lt;1667,$D$3=19),'ค่าบำรุงรักษา(ปี)'!BZ10,IF(AND($D$2&lt;1667,$D$3=20),'ค่าบำรุงรักษา(ปี)'!CD10,IF(AND($D$2&gt;=1667,$D$4&lt;30000),'ค่าบำรุงรักษา (ระยะทาง)'!G10,IF(AND($D$2&gt;=1667,$D$4&lt;40000),'ค่าบำรุงรักษา (ระยะทาง)'!I10,IF(AND($D$2&gt;=1667,$D$4&lt;50000),'ค่าบำรุงรักษา (ระยะทาง)'!K10,IF(AND($D$2&gt;=1667,$D$4&lt;60000),'ค่าบำรุงรักษา (ระยะทาง)'!M10,IF(AND($D$2&gt;=1667,$D$4&lt;70000),'ค่าบำรุงรักษา (ระยะทาง)'!O10,IF(AND($D$2&gt;=1667,$D$4&lt;80000),'ค่าบำรุงรักษา (ระยะทาง)'!Q10,IF(AND($D$2&gt;=1667,$D$4&lt;90000),'ค่าบำรุงรักษา (ระยะทาง)'!S10,IF(AND($D$2&gt;=1667,$D$4&lt;100000),'ค่าบำรุงรักษา (ระยะทาง)'!U10,IF(AND($D$2&gt;=1667,$D$4&lt;110000),'ค่าบำรุงรักษา (ระยะทาง)'!W10,IF(AND($D$2&gt;=1667,$D$4&lt;120000),'ค่าบำรุงรักษา (ระยะทาง)'!Y10,IF(AND($D$2&gt;=1667,$D$4&lt;130000),'ค่าบำรุงรักษา (ระยะทาง)'!AA10,IF(AND($D$2&gt;=1667,$D$4&lt;140000),'ค่าบำรุงรักษา (ระยะทาง)'!AC10,IF(AND($D$2&gt;=1667,$D$4&lt;150000),'ค่าบำรุงรักษา (ระยะทาง)'!AE10,IF(AND($D$2&gt;=1667,$D$4&lt;160000),'ค่าบำรุงรักษา (ระยะทาง)'!AG10,IF(AND($D$2&gt;=1667,$D$4&lt;170000),'ค่าบำรุงรักษา (ระยะทาง)'!AI10,IF(AND($D$2&gt;=1667,$D$4&lt;180000),'ค่าบำรุงรักษา (ระยะทาง)'!AK10,IF(AND($D$2&gt;=1667,$D$4&lt;190000),'ค่าบำรุงรักษา (ระยะทาง)'!AM10,IF(AND($D$2&gt;=1667,$D$4&lt;200000),'ค่าบำรุงรักษา (ระยะทาง)'!AO10,IF(AND($D$2&gt;=1667,$D$4&lt;210000),'ค่าบำรุงรักษา (ระยะทาง)'!AQ10,IF(AND($D$2&gt;=1667,$D$4&lt;220000),'ค่าบำรุงรักษา (ระยะทาง)'!AS10,IF(AND($D$2&gt;=1667,$D$4&lt;220000),'ค่าบำรุงรักษา (ระยะทาง)'!AU10,IF(AND($D$2&gt;=1667,$D$4&lt;240000),'ค่าบำรุงรักษา (ระยะทาง)'!AW10,IF(AND($D$2&gt;=1667,$D$4&lt;250000),'ค่าบำรุงรักษา (ระยะทาง)'!AY10,IF(AND($D$2&gt;=1667,$D$4&lt;260000),'ค่าบำรุงรักษา (ระยะทาง)'!BA10,IF(AND($D$2&gt;=1667,$D$4&lt;270000),'ค่าบำรุงรักษา (ระยะทาง)'!BC10,IF(AND($D$2&gt;=1667,$D$4&lt;280000),'ค่าบำรุงรักษา (ระยะทาง)'!BE10,IF(AND($D$2&gt;=1667,$D$4&lt;290000),'ค่าบำรุงรักษา (ระยะทาง)'!BG10,IF(AND($D$2&gt;=1667,$D$4&lt;300000),'ค่าบำรุงรักษา (ระยะทาง)'!BH8,IF(AND($D$2&gt;=1667,$D$4&lt;310000),'ค่าบำรุงรักษา (ระยะทาง)'!BK10,IF(AND($D$2&gt;=1667,$D$4&lt;320000),'ค่าบำรุงรักษา (ระยะทาง)'!BM10,IF(AND($D$2&gt;=1667,$D$4&lt;330000),'ค่าบำรุงรักษา (ระยะทาง)'!BO10,IF(AND($D$2&gt;=1667,$D$4&lt;340000),'ค่าบำรุงรักษา (ระยะทาง)'!BQ10,IF(AND($D$2&gt;=1667,$D$4&lt;350000),'ค่าบำรุงรักษา (ระยะทาง)'!BS10,IF(AND($D$2&gt;=1667,$D$4&lt;370000),'ค่าบำรุงรักษา (ระยะทาง)'!BW10,IF(AND($D$2&gt;=1667,$D$4&lt;380000),'ค่าบำรุงรักษา (ระยะทาง)'!BY10,IF(AND($D$2&gt;=1667,$D$4&lt;390000),'ค่าบำรุงรักษา (ระยะทาง)'!CA10,IF(AND($D$2&gt;=1667,$D$4&lt;400000),'ค่าบำรุงรักษา (ระยะทาง)'!CC10,IF(AND($D$2&gt;=1667,$D$4&lt;430000),'ค่าบำรุงรักษา (ระยะทาง)'!CI10,IF(AND($D$2&gt;=1667,$D$4&lt;440000),'ค่าบำรุงรักษา (ระยะทาง)'!CK10,IF(AND($D$2&gt;=1667,$D$4&lt;450000),'ค่าบำรุงรักษา (ระยะทาง)'!CM10,IF(AND($D$2&gt;=1667,$D$4&lt;460000),'ค่าบำรุงรักษา (ระยะทาง)'!CO10,IF(AND($D$2&gt;=1667,$D$4&lt;470000),'ค่าบำรุงรักษา (ระยะทาง)'!CQ10,IF(AND($D$2&gt;=1667,$D$4&lt;480000),'ค่าบำรุงรักษา (ระยะทาง)'!CS10,IF(AND($D$2&gt;=1667,$D$4&lt;490000),'ค่าบำรุงรักษา (ระยะทาง)'!CU10))))))))))))))))))))))))))))))))))))))))))))))))))))))))))))))))</f>
        <v>4300</v>
      </c>
      <c r="L13" s="55">
        <f>$D$4*$I$3/B13</f>
        <v>47541.176470588238</v>
      </c>
      <c r="M13" s="56">
        <f>C13+(E13+F13+G13)+(H13+I13)+J13+K13+L13</f>
        <v>823133.38647058816</v>
      </c>
    </row>
    <row r="14" spans="1:13" ht="24.6">
      <c r="A14" s="38" t="s">
        <v>32</v>
      </c>
      <c r="B14" s="54">
        <f>ค่าพลังงาน!B13</f>
        <v>25.1</v>
      </c>
      <c r="C14" s="55">
        <f>ราคาเริ่มต้น!B11</f>
        <v>749000</v>
      </c>
      <c r="D14" s="55">
        <f>IF($D$3=1,ราคาเริ่มต้น!D11,IF($D$3=2,ราคาเริ่มต้น!E11,IF($D$3=3,ราคาเริ่มต้น!F11,IF($D$3=4,ราคาเริ่มต้น!G11,IF($D$3=5,ราคาเริ่มต้น!H11,IF($D$3=6,ราคาเริ่มต้น!I11,IF($D$3=7,ราคาเริ่มต้น!J11,IF($D$3=8,ราคาเริ่มต้น!K11,IF($D$3=9,ราคาเริ่มต้น!L11,IF($D$3=10,ราคาเริ่มต้น!M11,IF($D$3=11,ราคาเริ่มต้น!N11,IF($D$3=12,ราคาเริ่มต้น!O11,IF($D$3=13,ราคาเริ่มต้น!P11,IF($D$3=14,ราคาเริ่มต้น!Q11,IF($D$3=15,ราคาเริ่มต้น!R11,IF($D$3=16,ราคาเริ่มต้น!S11,IF($D$3=17,ราคาเริ่มต้น!T11,IF($D$3=18,ราคาเริ่มต้น!U11,IF($D$3=19,ราคาเริ่มต้น!V11,IF($D$3=20,ราคาเริ่มต้น!W11))))))))))))))))))))</f>
        <v>636650</v>
      </c>
      <c r="E14" s="55">
        <f>IF($D$3=1,ภาษีประจำปี!C11,IF($D$3=2,ภาษีประจำปี!E11,IF($D$3=3,ภาษีประจำปี!F11,IF($D$3=4,ภาษีประจำปี!I11,IF($D$3=5,ภาษีประจำปี!K11,IF($D$3=6,ภาษีประจำปี!M11,IF($D$3=7,ภาษีประจำปี!O11,IF($D$3=8,ภาษีประจำปี!Q11,IF($D$3=9,ภาษีประจำปี!S11,IF($D$3=10,ภาษีประจำปี!U11,IF($D$3=11,ภาษีประจำปี!W11,IF($D$3=12,ภาษีประจำปี!Y11,IF($D$3=13,ภาษีประจำปี!AA11,IF($D$3=14,ภาษีประจำปี!AC11,IF($D$3=15,ภาษีประจำปี!AE11,IF($D$3=16,ภาษีประจำปี!AG11,IF($D$3=17,ภาษีประจำปี!AI11,IF($D$3=18,ภาษีประจำปี!AK11,IF($D$3=19,ภาษีประจำปี!AM11,IF($D$3=20,ภาษีประจำปี!AO11))))))))))))))))))))</f>
        <v>1649</v>
      </c>
      <c r="F14" s="55">
        <f>IF($D$3=1,ประกันภัยบังคับ!B11,IF($D$3=2,ประกันภัยบังคับ!C11,IF($D$3=3,ประกันภัยบังคับ!D11,IF($D$3=4,ประกันภัยบังคับ!E11,IF($D$3=5,ประกันภัยบังคับ!F11,IF($D$3=6,ประกันภัยบังคับ!G11,IF($D$3=7,ประกันภัยบังคับ!H11,IF($D$3=8,ประกันภัยบังคับ!I11,IF($D$3=9,ประกันภัยบังคับ!J11,IF($D$3=10,ประกันภัยบังคับ!K11,IF($D$3=11,ประกันภัยบังคับ!L11,IF($D$3=12,ประกันภัยบังคับ!M11,IF($D$3=13,ประกันภัยบังคับ!N11,IF($D$3=14,ประกันภัยบังคับ!O11,IF($D$3=15,ประกันภัยบังคับ!P11,IF($D$3=16,ประกันภัยบังคับ!Q11,IF($D$3=17,ประกันภัยบังคับ!R11,IF($D$3=18,ประกันภัยบังคับ!S11,IF($D$3=19,ประกันภัยบังคับ!T11,IF($D$3=20,ประกันภัยบังคับ!U11))))))))))))))))))))</f>
        <v>645.21</v>
      </c>
      <c r="G14" s="55">
        <f>IF($D$3=1,ประกันภัยชั้น1!C11,IF($D$3=2,ประกันภัยชั้น1!E11,IF($D$3=3,ประกันภัยชั้น1!G11,IF($D$3=4,ประกันภัยชั้น1!I11,IF($D$3=5,ประกันภัยชั้น1!K11,IF($D$3=6,ประกันภัยชั้น1!M11,IF($D$3=7,ประกันภัยชั้น1!O11,IF($D$3=8,ประกันภัยชั้น1!Q11,IF($D$3=9,ประกันภัยชั้น1!S11,IF($D$3=10,ประกันภัยชั้น1!U11,IF($D$3=11,ประกันภัยชั้น1!W11,IF($D$3=12,ประกันภัยชั้น1!Y11,IF($D$3=13,ประกันภัยชั้น1!AA11,IF($D$3=14,ประกันภัยชั้น1!AC11,IF($D$3=15,ประกันภัยชั้น1!AE11,IF($D$3=16,ประกันภัยชั้น1!AG11,IF($D$3=17,ประกันภัยชั้น1!AI11,IF($D$3=18,ประกันภัยชั้น1!AK11,IF($D$3=19,ประกันภัยชั้น1!AM11,IF($D$3=20,ประกันภัยชั้น1!AO11))))))))))))))))))))</f>
        <v>25645</v>
      </c>
      <c r="H14" s="55">
        <f>IF(AND($D$2&lt;1667,$D$3=1),'ยางรถ (ปี)'!B13,IF(AND($D$2&lt;1667,$D$3=2),'ยางรถ (ปี)'!C13,IF(AND($D$2&lt;1667,$D$3=3),'ยางรถ (ปี)'!D13,IF(AND($D$2&lt;1667,$D$3=4),'ยางรถ (ปี)'!D13,IF(AND($D$2&lt;1667,$D$3=5),'ยางรถ (ปี)'!D13,IF(AND($D$2&lt;1667,$D$3=6),'ยางรถ (ปี)'!G13,IF(AND($D$2&lt;1667,$D$3=7),'ยางรถ (ปี)'!G13,IF(AND($D$2&lt;1667,$D$3=8),'ยางรถ (ปี)'!G13,IF(AND($D$2&lt;1667,$D$3=9),'ยางรถ (ปี)'!J13,IF(AND($D$2&lt;1667,$D$3=10),'ยางรถ (ปี)'!J13,IF(AND($D$2&lt;1667,$D$3=11),'ยางรถ (ปี)'!J13,IF(AND($D$2&lt;1667,$D$3=12),'ยางรถ (ปี)'!M13,IF(AND($D$2&lt;1667,$D$3=13),'ยางรถ (ปี)'!M13,IF(AND($D$2&lt;1667,$D$3=14),'ยางรถ (ปี)'!M13,IF(AND($D$2&lt;1667,$D$3=15),'ยางรถ (ปี)'!P13,IF(AND($D$2&lt;1667,$D$3=16),'ยางรถ (ปี)'!P13,IF(AND($D$2&lt;1667,$D$3=17),'ยางรถ (ปี)'!P13,IF(AND($D$2&lt;1667,$D$3=18),'ยางรถ (ปี)'!S13,IF(AND($D$2&lt;1667,$D$3=19),'ยางรถ (ปี)'!S13,IF(AND($D$2&lt;1667,$D$3=20),'ยางรถ (ปี)'!S13,IF(AND($D$2&lt;1667,$D$3=21),'ยางรถ (ปี)'!V13,IF(AND($D$2&gt;=1667,$D$4&lt;50000),0,IF(AND($D$2&gt;=1667, $D$4&lt;100000),'ยางรถ(ระยะทาง)'!G11,IF(AND($D$2&gt;=1667, $D$4&lt;150000),'ยางรถ(ระยะทาง)'!M11,IF(AND($D$2&gt;=1667, $D$4&lt;200000),'ยางรถ(ระยะทาง)'!S11,IF(AND($D$2&gt;=1667, $D$4&lt;250000),'ยางรถ(ระยะทาง)'!Y11,IF(AND($D$2&gt;=1667, $D$4&lt;300000),'ยางรถ(ระยะทาง)'!AF11,IF(AND($D$2&gt;=1667, $D$4&lt;350000),'ยางรถ(ระยะทาง)'!AL11,IF(AND($D$2&gt;=1667, $D$4&lt;400000),'ยางรถ(ระยะทาง)'!AR11,IF(AND($D$2&gt;=1667, $D$4&lt;450000),'ยางรถ(ระยะทาง)'!AX11,IF(AND($D$2&gt;=1667, $D$4&lt;500000),'ยางรถ(ระยะทาง)'!BD11,IF(AND($D$2&gt;=1667, $D$4&lt;550000),'ยางรถ(ระยะทาง)'!BJ11,IF(AND($D$2&gt;=1667, $D$4&lt;600000),'ยางรถ(ระยะทาง)'!BL11,IF(AND($D$2&gt;=1667, $D$4&lt;650000),'ยางรถ(ระยะทาง)'!BN11,IF(AND($D$2&gt;=1667, $D$4&lt;700000),'ยางรถ(ระยะทาง)'!BP11,IF(AND($D$2&gt;=1667, $D$4&lt;750000),'ยางรถ(ระยะทาง)'!BR11,IF(AND($D$2&gt;=1667, $D$4&lt;800000),'ยางรถ(ระยะทาง)'!BV11)))))))))))))))))))))))))))))))))))))</f>
        <v>0</v>
      </c>
      <c r="I14" s="55">
        <f>IF(AND($D$2&lt;1667,$D$3=1),'แบตเตอร์รี่ (ปี)'!B11,IF(AND($D$2&lt;1667,$D$3=2),'แบตเตอร์รี่ (ปี)'!C11,IF(AND($D$2&lt;1667,$D$3=3),'แบตเตอร์รี่ (ปี)'!C11,IF(AND($D$2&lt;1667,$D$3=4),'แบตเตอร์รี่ (ปี)'!E11,IF(AND($D$2&lt;1667,$D$3=5),'แบตเตอร์รี่ (ปี)'!E11,IF(AND($D$2&lt;1667,$D$3=6),'แบตเตอร์รี่ (ปี)'!G11,IF(AND($D$2&lt;1667,$D$3=7),'แบตเตอร์รี่ (ปี)'!G11,IF(AND($D$2&lt;1667,$D$3=8),'แบตเตอร์รี่ (ปี)'!I11,IF(AND($D$2&lt;1667,$D$3=9),'แบตเตอร์รี่ (ปี)'!I11,IF(AND($D$2&lt;1667,$D$3=10),'แบตเตอร์รี่ (ปี)'!K11,IF(AND($D$2&lt;1667,$D$3=11),'แบตเตอร์รี่ (ปี)'!K11,IF(AND($D$2&lt;1667,$D$3=12),'แบตเตอร์รี่ (ปี)'!M11,IF(AND($D$2&lt;1667,$D$3=13),'แบตเตอร์รี่ (ปี)'!M11,IF(AND($D$2&lt;1667,$D$3=14),'แบตเตอร์รี่ (ปี)'!O11,IF(AND($D$2&lt;1667,$D$3=15),'แบตเตอร์รี่ (ปี)'!O11,IF(AND($D$2&lt;1667,$D$3=16),'แบตเตอร์รี่ (ปี)'!Q11,IF(AND($D$2&lt;1667,$D$3=17),'แบตเตอร์รี่ (ปี)'!Q11,IF(AND($D$2&lt;1667,$D$3=18),'แบตเตอร์รี่ (ปี)'!S11,IF(AND($D$2&lt;1667,$D$3=19),'แบตเตอร์รี่ (ปี)'!S11,IF(AND($D$2&lt;1667,$D$3=20),'แบตเตอร์รี่ (ปี)'!U11,IF(AND($D$2&gt;=1667,$D$4&lt;40000),0,IF(AND($D$2&gt;=1667,$D$4&lt;80000),'แบตเตอรี(ระยะทาง) '!E11,IF(AND($D$2&gt;=1667,$D$4&lt;120000),'แบตเตอรี(ระยะทาง) '!I11,IF(AND($D$2&gt;=1667,$D$4&lt;160000),'แบตเตอรี(ระยะทาง) '!M11,IF(AND($D$2&gt;=1667,$D$4&lt;200000),'แบตเตอรี(ระยะทาง) '!Q11,IF(AND($D$2&gt;=1667,$D$4&lt;240000),'แบตเตอรี(ระยะทาง) '!E11,IF(AND($D$2&gt;=1667,$D$4&lt;280000),'แบตเตอรี(ระยะทาง) '!Y11,IF(AND($D$2&gt;=1667,$D$4&lt;320000),'แบตเตอรี(ระยะทาง) '!AC11,IF(AND($D$2&gt;=1667,$D$4&lt;360000),'แบตเตอรี(ระยะทาง) '!AG11,IF(AND($D$2&gt;=1667,$D$4&lt;400000),'แบตเตอรี(ระยะทาง) '!AK11,IF(AND($D$2&gt;=1667,$D$4&lt;440000),'แบตเตอรี(ระยะทาง) '!AO11,IF(AND($D$2&gt;=1667,$D$4&lt;480000),'แบตเตอรี(ระยะทาง) '!AS11,IF(AND($D$2&gt;=1667,$D$4&lt;50000),'แบตเตอรี(ระยะทาง) '!AW11,)))))))))))))))))))))))))))))))))</f>
        <v>0</v>
      </c>
      <c r="J14" s="55">
        <f>IF(AND($D$2&lt;1667,$D$3=1),'แบตเตอรีไฟฟ้า (ปี)'!B11,IF(AND($D$2&lt;1667,$D$3=2),'แบตเตอรีไฟฟ้า (ปี)'!C11,IF(AND($D$2&lt;1667,$D$3=3),'แบตเตอรีไฟฟ้า (ปี)'!D11,IF(AND($D$2&lt;1667,$D$3=4),'แบตเตอรีไฟฟ้า (ปี)'!E11,IF(AND($D$2&lt;1667,$D$3=5),'แบตเตอรีไฟฟ้า (ปี)'!F11,IF(AND($D$2&lt;1667,$D$3=6),'แบตเตอรีไฟฟ้า (ปี)'!G11,IF(AND($D$2&lt;1667,$D$3=7),'แบตเตอรีไฟฟ้า (ปี)'!H11,IF(AND($D$2&lt;1667,$D$3=8),'แบตเตอรีไฟฟ้า (ปี)'!I11,IF(AND($D$2&lt;1667,$D$3=9),'แบตเตอรีไฟฟ้า (ปี)'!I11,IF(AND($D$2&lt;1667,$D$3=10),'แบตเตอรีไฟฟ้า (ปี)'!K11,IF(AND($D$2&lt;1667,$D$3=11),'แบตเตอรีไฟฟ้า (ปี)'!I11,IF(AND($D$2&lt;1667,$D$3=12),'แบตเตอรีไฟฟ้า (ปี)'!I11,IF(AND($D$2&lt;1667,$D$3=13),'แบตเตอรีไฟฟ้า (ปี)'!I11,IF(AND($D$2&lt;1667,$D$3=14),'แบตเตอรีไฟฟ้า (ปี)'!I11,IF(AND($D$2&lt;1667,$D$3=15),'แบตเตอรีไฟฟ้า (ปี)'!I11,IF(AND($D$2&lt;1667,$D$3=16),'แบตเตอรีไฟฟ้า (ปี)'!Q11,IF(AND($D$2&lt;1667,$D$3=17),'แบตเตอรีไฟฟ้า (ปี)'!Q11,IF(AND($D$2&lt;1667,$D$3=18),'แบตเตอรีไฟฟ้า (ปี)'!Q11,IF(AND($D$2&lt;1667,$D$3=19),'แบตเตอรีไฟฟ้า (ปี)'!Q11,IF(AND($D$2&lt;1667,$D$3=20),'แบตเตอรีไฟฟ้า (ปี)'!Q11,IF(AND($D$2&gt;=1667,$D$4&lt;170000),0,IF(AND($D$2&gt;=1667,$D$4&lt;340000),'แบตเตอรีรถไฟฟ้า(ระยะทาง)'!R11,IF(AND($D$2&gt;=1667,$D$4&lt;510000),'แบตเตอรีรถไฟฟ้า(ระยะทาง)'!AI11,)))))))))))))))))))))))</f>
        <v>0</v>
      </c>
      <c r="K14" s="55">
        <f>IF(AND($D$2&lt;1667,$D$3=1),'ค่าบำรุงรักษา(ปี)'!F11,IF(AND($D$2&lt;1667,$D$3=2),'ค่าบำรุงรักษา(ปี)'!J11,IF(AND($D$2&lt;1667,$D$3=3),'ค่าบำรุงรักษา(ปี)'!N11,IF(AND($D$2&lt;1667,$D$3=4),'ค่าบำรุงรักษา(ปี)'!R11,IF(AND($D$2&lt;1667,$D$3=5),'ค่าบำรุงรักษา(ปี)'!V11,IF(AND($D$2&lt;1667,$D$3=6),'ค่าบำรุงรักษา(ปี)'!Z11,IF(AND($D$2&lt;1667,$D$3=7),'ค่าบำรุงรักษา(ปี)'!AD11,IF(AND($D$2&lt;1667,$D$3=8),'ค่าบำรุงรักษา(ปี)'!AH11,IF(AND($D$2&lt;1667,$D$3=9),'ค่าบำรุงรักษา(ปี)'!AL11,IF(AND($D$2&lt;1667,$D$3=10),'ค่าบำรุงรักษา(ปี)'!AP11,IF(AND($D$2&lt;1667,$D$3=11),'ค่าบำรุงรักษา(ปี)'!AT11,IF(AND($D$2&lt;1667,$D$3=12),'ค่าบำรุงรักษา(ปี)'!AX11,IF(AND($D$2&lt;1667,$D$3=13),'ค่าบำรุงรักษา(ปี)'!BB11,IF(AND($D$2&lt;1667,$D$3=14),'ค่าบำรุงรักษา(ปี)'!BF11,IF(AND($D$2&lt;1667,$D$3=15),'ค่าบำรุงรักษา(ปี)'!BJ11,IF(AND($D$2&lt;1667,$D$3=16),'ค่าบำรุงรักษา(ปี)'!BN11,IF(AND($D$2&lt;1667,$D$3=17),'ค่าบำรุงรักษา(ปี)'!BR11,IF(AND($D$2&lt;1667,$D$3=18),'ค่าบำรุงรักษา(ปี)'!BV11,IF(AND($D$2&lt;1667,$D$3=19),'ค่าบำรุงรักษา(ปี)'!BZ11,IF(AND($D$2&lt;1667,$D$3=20),'ค่าบำรุงรักษา(ปี)'!CD11,IF(AND($D$2&gt;=1667,$D$4&lt;30000),'ค่าบำรุงรักษา (ระยะทาง)'!G11,IF(AND($D$2&gt;=1667,$D$4&lt;40000),'ค่าบำรุงรักษา (ระยะทาง)'!I11,IF(AND($D$2&gt;=1667,$D$4&lt;50000),'ค่าบำรุงรักษา (ระยะทาง)'!K11,IF(AND($D$2&gt;=1667,$D$4&lt;60000),'ค่าบำรุงรักษา (ระยะทาง)'!M11,IF(AND($D$2&gt;=1667,$D$4&lt;70000),'ค่าบำรุงรักษา (ระยะทาง)'!O11,IF(AND($D$2&gt;=1667,$D$4&lt;80000),'ค่าบำรุงรักษา (ระยะทาง)'!Q11,IF(AND($D$2&gt;=1667,$D$4&lt;90000),'ค่าบำรุงรักษา (ระยะทาง)'!S11,IF(AND($D$2&gt;=1667,$D$4&lt;100000),'ค่าบำรุงรักษา (ระยะทาง)'!U11,IF(AND($D$2&gt;=1667,$D$4&lt;110000),'ค่าบำรุงรักษา (ระยะทาง)'!W11,IF(AND($D$2&gt;=1667,$D$4&lt;120000),'ค่าบำรุงรักษา (ระยะทาง)'!Y11,IF(AND($D$2&gt;=1667,$D$4&lt;130000),'ค่าบำรุงรักษา (ระยะทาง)'!AA11,IF(AND($D$2&gt;=1667,$D$4&lt;140000),'ค่าบำรุงรักษา (ระยะทาง)'!AC11,IF(AND($D$2&gt;=1667,$D$4&lt;150000),'ค่าบำรุงรักษา (ระยะทาง)'!AE11,IF(AND($D$2&gt;=1667,$D$4&lt;160000),'ค่าบำรุงรักษา (ระยะทาง)'!AG11,IF(AND($D$2&gt;=1667,$D$4&lt;170000),'ค่าบำรุงรักษา (ระยะทาง)'!AI11,IF(AND($D$2&gt;=1667,$D$4&lt;180000),'ค่าบำรุงรักษา (ระยะทาง)'!AK11,IF(AND($D$2&gt;=1667,$D$4&lt;190000),'ค่าบำรุงรักษา (ระยะทาง)'!AM11,IF(AND($D$2&gt;=1667,$D$4&lt;200000),'ค่าบำรุงรักษา (ระยะทาง)'!AO11,IF(AND($D$2&gt;=1667,$D$4&lt;210000),'ค่าบำรุงรักษา (ระยะทาง)'!AQ11,IF(AND($D$2&gt;=1667,$D$4&lt;220000),'ค่าบำรุงรักษา (ระยะทาง)'!AS11,IF(AND($D$2&gt;=1667,$D$4&lt;220000),'ค่าบำรุงรักษา (ระยะทาง)'!AU11,IF(AND($D$2&gt;=1667,$D$4&lt;240000),'ค่าบำรุงรักษา (ระยะทาง)'!AW11,IF(AND($D$2&gt;=1667,$D$4&lt;250000),'ค่าบำรุงรักษา (ระยะทาง)'!AY11,IF(AND($D$2&gt;=1667,$D$4&lt;260000),'ค่าบำรุงรักษา (ระยะทาง)'!BA11,IF(AND($D$2&gt;=1667,$D$4&lt;270000),'ค่าบำรุงรักษา (ระยะทาง)'!BC11,IF(AND($D$2&gt;=1667,$D$4&lt;280000),'ค่าบำรุงรักษา (ระยะทาง)'!BE11,IF(AND($D$2&gt;=1667,$D$4&lt;290000),'ค่าบำรุงรักษา (ระยะทาง)'!BG11,IF(AND($D$2&gt;=1667,$D$4&lt;300000),'ค่าบำรุงรักษา (ระยะทาง)'!BH9,IF(AND($D$2&gt;=1667,$D$4&lt;310000),'ค่าบำรุงรักษา (ระยะทาง)'!BK11,IF(AND($D$2&gt;=1667,$D$4&lt;320000),'ค่าบำรุงรักษา (ระยะทาง)'!BM11,IF(AND($D$2&gt;=1667,$D$4&lt;330000),'ค่าบำรุงรักษา (ระยะทาง)'!BO11,IF(AND($D$2&gt;=1667,$D$4&lt;340000),'ค่าบำรุงรักษา (ระยะทาง)'!BQ11,IF(AND($D$2&gt;=1667,$D$4&lt;350000),'ค่าบำรุงรักษา (ระยะทาง)'!BS11,IF(AND($D$2&gt;=1667,$D$4&lt;370000),'ค่าบำรุงรักษา (ระยะทาง)'!BW11,IF(AND($D$2&gt;=1667,$D$4&lt;380000),'ค่าบำรุงรักษา (ระยะทาง)'!BY11,IF(AND($D$2&gt;=1667,$D$4&lt;390000),'ค่าบำรุงรักษา (ระยะทาง)'!CA11,IF(AND($D$2&gt;=1667,$D$4&lt;400000),'ค่าบำรุงรักษา (ระยะทาง)'!CC11,IF(AND($D$2&gt;=1667,$D$4&lt;430000),'ค่าบำรุงรักษา (ระยะทาง)'!CI11,IF(AND($D$2&gt;=1667,$D$4&lt;440000),'ค่าบำรุงรักษา (ระยะทาง)'!CK11,IF(AND($D$2&gt;=1667,$D$4&lt;450000),'ค่าบำรุงรักษา (ระยะทาง)'!CM11,IF(AND($D$2&gt;=1667,$D$4&lt;460000),'ค่าบำรุงรักษา (ระยะทาง)'!CO11,IF(AND($D$2&gt;=1667,$D$4&lt;470000),'ค่าบำรุงรักษา (ระยะทาง)'!CQ11,IF(AND($D$2&gt;=1667,$D$4&lt;480000),'ค่าบำรุงรักษา (ระยะทาง)'!CS11,IF(AND($D$2&gt;=1667,$D$4&lt;490000),'ค่าบำรุงรักษา (ระยะทาง)'!CU11))))))))))))))))))))))))))))))))))))))))))))))))))))))))))))))))</f>
        <v>7800</v>
      </c>
      <c r="L14" s="55">
        <f>$D$4*$I$2/B14</f>
        <v>30262.948207171314</v>
      </c>
      <c r="M14" s="56">
        <f t="shared" si="1"/>
        <v>815002.15820717125</v>
      </c>
    </row>
    <row r="15" spans="1:13" ht="24.6">
      <c r="A15" s="38" t="s">
        <v>31</v>
      </c>
      <c r="B15" s="54">
        <f>ค่าพลังงาน!B14</f>
        <v>19</v>
      </c>
      <c r="C15" s="55">
        <f>ราคาเริ่มต้น!B12</f>
        <v>659000</v>
      </c>
      <c r="D15" s="55">
        <f>IF($D$3=1,ราคาเริ่มต้น!D12,IF($D$3=2,ราคาเริ่มต้น!E12,IF($D$3=3,ราคาเริ่มต้น!F12,IF($D$3=4,ราคาเริ่มต้น!G12,IF($D$3=5,ราคาเริ่มต้น!H12,IF($D$3=6,ราคาเริ่มต้น!I12,IF($D$3=7,ราคาเริ่มต้น!J12,IF($D$3=8,ราคาเริ่มต้น!K12,IF($D$3=9,ราคาเริ่มต้น!L12,IF($D$3=10,ราคาเริ่มต้น!M12,IF($D$3=11,ราคาเริ่มต้น!N12,IF($D$3=12,ราคาเริ่มต้น!O12,IF($D$3=13,ราคาเริ่มต้น!P12,IF($D$3=14,ราคาเริ่มต้น!Q12,IF($D$3=15,ราคาเริ่มต้น!R12,IF($D$3=16,ราคาเริ่มต้น!S12,IF($D$3=17,ราคาเริ่มต้น!T12,IF($D$3=18,ราคาเริ่มต้น!U12,IF($D$3=19,ราคาเริ่มต้น!V12,IF($D$3=20,ราคาเริ่มต้น!W12))))))))))))))))))))</f>
        <v>560150</v>
      </c>
      <c r="E15" s="55">
        <f>IF($D$3=1,ภาษีประจำปี!C12,IF($D$3=2,ภาษีประจำปี!E12,IF($D$3=3,ภาษีประจำปี!F12,IF($D$3=4,ภาษีประจำปี!I12,IF($D$3=5,ภาษีประจำปี!K12,IF($D$3=6,ภาษีประจำปี!M12,IF($D$3=7,ภาษีประจำปี!O12,IF($D$3=8,ภาษีประจำปี!Q12,IF($D$3=9,ภาษีประจำปี!S12,IF($D$3=10,ภาษีประจำปี!U12,IF($D$3=11,ภาษีประจำปี!W12,IF($D$3=12,ภาษีประจำปี!Y12,IF($D$3=13,ภาษีประจำปี!AA12,IF($D$3=14,ภาษีประจำปี!AC12,IF($D$3=15,ภาษีประจำปี!AE12,IF($D$3=16,ภาษีประจำปี!AG12,IF($D$3=17,ภาษีประจำปี!AI12,IF($D$3=18,ภาษีประจำปี!AK12,IF($D$3=19,ภาษีประจำปี!AM12,IF($D$3=20,ภาษีประจำปี!AO12))))))))))))))))))))</f>
        <v>1349</v>
      </c>
      <c r="F15" s="55">
        <f>IF($D$3=1,ประกันภัยบังคับ!B12,IF($D$3=2,ประกันภัยบังคับ!C12,IF($D$3=3,ประกันภัยบังคับ!D12,IF($D$3=4,ประกันภัยบังคับ!E12,IF($D$3=5,ประกันภัยบังคับ!F12,IF($D$3=6,ประกันภัยบังคับ!G12,IF($D$3=7,ประกันภัยบังคับ!H12,IF($D$3=8,ประกันภัยบังคับ!I12,IF($D$3=9,ประกันภัยบังคับ!J12,IF($D$3=10,ประกันภัยบังคับ!K12,IF($D$3=11,ประกันภัยบังคับ!L12,IF($D$3=12,ประกันภัยบังคับ!M12,IF($D$3=13,ประกันภัยบังคับ!N12,IF($D$3=14,ประกันภัยบังคับ!O12,IF($D$3=15,ประกันภัยบังคับ!P12,IF($D$3=16,ประกันภัยบังคับ!Q12,IF($D$3=17,ประกันภัยบังคับ!R12,IF($D$3=18,ประกันภัยบังคับ!S12,IF($D$3=19,ประกันภัยบังคับ!T12,IF($D$3=20,ประกันภัยบังคับ!U12))))))))))))))))))))</f>
        <v>645.21</v>
      </c>
      <c r="G15" s="55">
        <f>IF($D$3=1,ประกันภัยชั้น1!C12,IF($D$3=2,ประกันภัยชั้น1!E12,IF($D$3=3,ประกันภัยชั้น1!G12,IF($D$3=4,ประกันภัยชั้น1!I12,IF($D$3=5,ประกันภัยชั้น1!K12,IF($D$3=6,ประกันภัยชั้น1!M12,IF($D$3=7,ประกันภัยชั้น1!O12,IF($D$3=8,ประกันภัยชั้น1!Q12,IF($D$3=9,ประกันภัยชั้น1!S12,IF($D$3=10,ประกันภัยชั้น1!U12,IF($D$3=11,ประกันภัยชั้น1!W12,IF($D$3=12,ประกันภัยชั้น1!Y12,IF($D$3=13,ประกันภัยชั้น1!AA12,IF($D$3=14,ประกันภัยชั้น1!AC12,IF($D$3=15,ประกันภัยชั้น1!AE12,IF($D$3=16,ประกันภัยชั้น1!AG12,IF($D$3=17,ประกันภัยชั้น1!AI12,IF($D$3=18,ประกันภัยชั้น1!AK12,IF($D$3=19,ประกันภัยชั้น1!AM12,IF($D$3=20,ประกันภัยชั้น1!AO12))))))))))))))))))))</f>
        <v>25645</v>
      </c>
      <c r="H15" s="55">
        <f>IF(AND($D$2&lt;1667,$D$3=1),'ยางรถ (ปี)'!B14,IF(AND($D$2&lt;1667,$D$3=2),'ยางรถ (ปี)'!C14,IF(AND($D$2&lt;1667,$D$3=3),'ยางรถ (ปี)'!D14,IF(AND($D$2&lt;1667,$D$3=4),'ยางรถ (ปี)'!D14,IF(AND($D$2&lt;1667,$D$3=5),'ยางรถ (ปี)'!D14,IF(AND($D$2&lt;1667,$D$3=6),'ยางรถ (ปี)'!G14,IF(AND($D$2&lt;1667,$D$3=7),'ยางรถ (ปี)'!G14,IF(AND($D$2&lt;1667,$D$3=8),'ยางรถ (ปี)'!G14,IF(AND($D$2&lt;1667,$D$3=9),'ยางรถ (ปี)'!J14,IF(AND($D$2&lt;1667,$D$3=10),'ยางรถ (ปี)'!J14,IF(AND($D$2&lt;1667,$D$3=11),'ยางรถ (ปี)'!J14,IF(AND($D$2&lt;1667,$D$3=12),'ยางรถ (ปี)'!M14,IF(AND($D$2&lt;1667,$D$3=13),'ยางรถ (ปี)'!M14,IF(AND($D$2&lt;1667,$D$3=14),'ยางรถ (ปี)'!M14,IF(AND($D$2&lt;1667,$D$3=15),'ยางรถ (ปี)'!P14,IF(AND($D$2&lt;1667,$D$3=16),'ยางรถ (ปี)'!P14,IF(AND($D$2&lt;1667,$D$3=17),'ยางรถ (ปี)'!P14,IF(AND($D$2&lt;1667,$D$3=18),'ยางรถ (ปี)'!S14,IF(AND($D$2&lt;1667,$D$3=19),'ยางรถ (ปี)'!S14,IF(AND($D$2&lt;1667,$D$3=20),'ยางรถ (ปี)'!S14,IF(AND($D$2&lt;1667,$D$3=21),'ยางรถ (ปี)'!V14,IF(AND($D$2&gt;=1667,$D$4&lt;50000),0,IF(AND($D$2&gt;=1667, $D$4&lt;100000),'ยางรถ(ระยะทาง)'!G12,IF(AND($D$2&gt;=1667, $D$4&lt;150000),'ยางรถ(ระยะทาง)'!M12,IF(AND($D$2&gt;=1667, $D$4&lt;200000),'ยางรถ(ระยะทาง)'!S12,IF(AND($D$2&gt;=1667, $D$4&lt;250000),'ยางรถ(ระยะทาง)'!Y12,IF(AND($D$2&gt;=1667, $D$4&lt;300000),'ยางรถ(ระยะทาง)'!AF12,IF(AND($D$2&gt;=1667, $D$4&lt;350000),'ยางรถ(ระยะทาง)'!AL12,IF(AND($D$2&gt;=1667, $D$4&lt;400000),'ยางรถ(ระยะทาง)'!AR12,IF(AND($D$2&gt;=1667, $D$4&lt;450000),'ยางรถ(ระยะทาง)'!AX12,IF(AND($D$2&gt;=1667, $D$4&lt;500000),'ยางรถ(ระยะทาง)'!BD12,IF(AND($D$2&gt;=1667, $D$4&lt;550000),'ยางรถ(ระยะทาง)'!BJ12,IF(AND($D$2&gt;=1667, $D$4&lt;600000),'ยางรถ(ระยะทาง)'!BL12,IF(AND($D$2&gt;=1667, $D$4&lt;650000),'ยางรถ(ระยะทาง)'!BN12,IF(AND($D$2&gt;=1667, $D$4&lt;700000),'ยางรถ(ระยะทาง)'!BP12,IF(AND($D$2&gt;=1667, $D$4&lt;750000),'ยางรถ(ระยะทาง)'!BR12,IF(AND($D$2&gt;=1667, $D$4&lt;800000),'ยางรถ(ระยะทาง)'!BV12)))))))))))))))))))))))))))))))))))))</f>
        <v>0</v>
      </c>
      <c r="I15" s="55">
        <f>IF(AND($D$2&lt;1667,$D$3=1),'แบตเตอร์รี่ (ปี)'!B12,IF(AND($D$2&lt;1667,$D$3=2),'แบตเตอร์รี่ (ปี)'!C12,IF(AND($D$2&lt;1667,$D$3=3),'แบตเตอร์รี่ (ปี)'!C12,IF(AND($D$2&lt;1667,$D$3=4),'แบตเตอร์รี่ (ปี)'!E12,IF(AND($D$2&lt;1667,$D$3=5),'แบตเตอร์รี่ (ปี)'!E12,IF(AND($D$2&lt;1667,$D$3=6),'แบตเตอร์รี่ (ปี)'!G12,IF(AND($D$2&lt;1667,$D$3=7),'แบตเตอร์รี่ (ปี)'!G12,IF(AND($D$2&lt;1667,$D$3=8),'แบตเตอร์รี่ (ปี)'!I12,IF(AND($D$2&lt;1667,$D$3=9),'แบตเตอร์รี่ (ปี)'!I12,IF(AND($D$2&lt;1667,$D$3=10),'แบตเตอร์รี่ (ปี)'!K12,IF(AND($D$2&lt;1667,$D$3=11),'แบตเตอร์รี่ (ปี)'!K12,IF(AND($D$2&lt;1667,$D$3=12),'แบตเตอร์รี่ (ปี)'!M12,IF(AND($D$2&lt;1667,$D$3=13),'แบตเตอร์รี่ (ปี)'!M12,IF(AND($D$2&lt;1667,$D$3=14),'แบตเตอร์รี่ (ปี)'!O12,IF(AND($D$2&lt;1667,$D$3=15),'แบตเตอร์รี่ (ปี)'!O12,IF(AND($D$2&lt;1667,$D$3=16),'แบตเตอร์รี่ (ปี)'!Q12,IF(AND($D$2&lt;1667,$D$3=17),'แบตเตอร์รี่ (ปี)'!Q12,IF(AND($D$2&lt;1667,$D$3=18),'แบตเตอร์รี่ (ปี)'!S12,IF(AND($D$2&lt;1667,$D$3=19),'แบตเตอร์รี่ (ปี)'!S12,IF(AND($D$2&lt;1667,$D$3=20),'แบตเตอร์รี่ (ปี)'!U12,IF(AND($D$2&gt;=1667,$D$4&lt;40000),0,IF(AND($D$2&gt;=1667,$D$4&lt;80000),'แบตเตอรี(ระยะทาง) '!E12,IF(AND($D$2&gt;=1667,$D$4&lt;120000),'แบตเตอรี(ระยะทาง) '!I12,IF(AND($D$2&gt;=1667,$D$4&lt;160000),'แบตเตอรี(ระยะทาง) '!M12,IF(AND($D$2&gt;=1667,$D$4&lt;200000),'แบตเตอรี(ระยะทาง) '!Q12,IF(AND($D$2&gt;=1667,$D$4&lt;240000),'แบตเตอรี(ระยะทาง) '!E12,IF(AND($D$2&gt;=1667,$D$4&lt;280000),'แบตเตอรี(ระยะทาง) '!Y12,IF(AND($D$2&gt;=1667,$D$4&lt;320000),'แบตเตอรี(ระยะทาง) '!AC12,IF(AND($D$2&gt;=1667,$D$4&lt;360000),'แบตเตอรี(ระยะทาง) '!AG12,IF(AND($D$2&gt;=1667,$D$4&lt;400000),'แบตเตอรี(ระยะทาง) '!AK12,IF(AND($D$2&gt;=1667,$D$4&lt;440000),'แบตเตอรี(ระยะทาง) '!AO12,IF(AND($D$2&gt;=1667,$D$4&lt;480000),'แบตเตอรี(ระยะทาง) '!AS12,IF(AND($D$2&gt;=1667,$D$4&lt;50000),'แบตเตอรี(ระยะทาง) '!AW12,)))))))))))))))))))))))))))))))))</f>
        <v>0</v>
      </c>
      <c r="J15" s="55">
        <f>IF(AND($D$2&lt;1667,$D$3=1),'แบตเตอรีไฟฟ้า (ปี)'!B12,IF(AND($D$2&lt;1667,$D$3=2),'แบตเตอรีไฟฟ้า (ปี)'!C12,IF(AND($D$2&lt;1667,$D$3=3),'แบตเตอรีไฟฟ้า (ปี)'!D12,IF(AND($D$2&lt;1667,$D$3=4),'แบตเตอรีไฟฟ้า (ปี)'!E12,IF(AND($D$2&lt;1667,$D$3=5),'แบตเตอรีไฟฟ้า (ปี)'!F12,IF(AND($D$2&lt;1667,$D$3=6),'แบตเตอรีไฟฟ้า (ปี)'!G12,IF(AND($D$2&lt;1667,$D$3=7),'แบตเตอรีไฟฟ้า (ปี)'!H12,IF(AND($D$2&lt;1667,$D$3=8),'แบตเตอรีไฟฟ้า (ปี)'!I12,IF(AND($D$2&lt;1667,$D$3=9),'แบตเตอรีไฟฟ้า (ปี)'!I12,IF(AND($D$2&lt;1667,$D$3=10),'แบตเตอรีไฟฟ้า (ปี)'!K12,IF(AND($D$2&lt;1667,$D$3=11),'แบตเตอรีไฟฟ้า (ปี)'!I12,IF(AND($D$2&lt;1667,$D$3=12),'แบตเตอรีไฟฟ้า (ปี)'!I12,IF(AND($D$2&lt;1667,$D$3=13),'แบตเตอรีไฟฟ้า (ปี)'!I12,IF(AND($D$2&lt;1667,$D$3=14),'แบตเตอรีไฟฟ้า (ปี)'!I12,IF(AND($D$2&lt;1667,$D$3=15),'แบตเตอรีไฟฟ้า (ปี)'!I12,IF(AND($D$2&lt;1667,$D$3=16),'แบตเตอรีไฟฟ้า (ปี)'!Q12,IF(AND($D$2&lt;1667,$D$3=17),'แบตเตอรีไฟฟ้า (ปี)'!Q12,IF(AND($D$2&lt;1667,$D$3=18),'แบตเตอรีไฟฟ้า (ปี)'!Q12,IF(AND($D$2&lt;1667,$D$3=19),'แบตเตอรีไฟฟ้า (ปี)'!Q12,IF(AND($D$2&lt;1667,$D$3=20),'แบตเตอรีไฟฟ้า (ปี)'!Q12,IF(AND($D$2&gt;=1667,$D$4&lt;170000),0,IF(AND($D$2&gt;=1667,$D$4&lt;340000),'แบตเตอรีรถไฟฟ้า(ระยะทาง)'!R12,IF(AND($D$2&gt;=1667,$D$4&lt;510000),'แบตเตอรีรถไฟฟ้า(ระยะทาง)'!AI12,)))))))))))))))))))))))</f>
        <v>0</v>
      </c>
      <c r="K15" s="55">
        <f>IF(AND($D$2&lt;1667,$D$3=1),'ค่าบำรุงรักษา(ปี)'!F12,IF(AND($D$2&lt;1667,$D$3=2),'ค่าบำรุงรักษา(ปี)'!J12,IF(AND($D$2&lt;1667,$D$3=3),'ค่าบำรุงรักษา(ปี)'!N12,IF(AND($D$2&lt;1667,$D$3=4),'ค่าบำรุงรักษา(ปี)'!R12,IF(AND($D$2&lt;1667,$D$3=5),'ค่าบำรุงรักษา(ปี)'!V12,IF(AND($D$2&lt;1667,$D$3=6),'ค่าบำรุงรักษา(ปี)'!Z12,IF(AND($D$2&lt;1667,$D$3=7),'ค่าบำรุงรักษา(ปี)'!AD12,IF(AND($D$2&lt;1667,$D$3=8),'ค่าบำรุงรักษา(ปี)'!AH12,IF(AND($D$2&lt;1667,$D$3=9),'ค่าบำรุงรักษา(ปี)'!AL12,IF(AND($D$2&lt;1667,$D$3=10),'ค่าบำรุงรักษา(ปี)'!AP12,IF(AND($D$2&lt;1667,$D$3=11),'ค่าบำรุงรักษา(ปี)'!AT12,IF(AND($D$2&lt;1667,$D$3=12),'ค่าบำรุงรักษา(ปี)'!AX12,IF(AND($D$2&lt;1667,$D$3=13),'ค่าบำรุงรักษา(ปี)'!BB12,IF(AND($D$2&lt;1667,$D$3=14),'ค่าบำรุงรักษา(ปี)'!BF12,IF(AND($D$2&lt;1667,$D$3=15),'ค่าบำรุงรักษา(ปี)'!BJ12,IF(AND($D$2&lt;1667,$D$3=16),'ค่าบำรุงรักษา(ปี)'!BN12,IF(AND($D$2&lt;1667,$D$3=17),'ค่าบำรุงรักษา(ปี)'!BR12,IF(AND($D$2&lt;1667,$D$3=18),'ค่าบำรุงรักษา(ปี)'!BV12,IF(AND($D$2&lt;1667,$D$3=19),'ค่าบำรุงรักษา(ปี)'!BZ12,IF(AND($D$2&lt;1667,$D$3=20),'ค่าบำรุงรักษา(ปี)'!CD12,IF(AND($D$2&gt;=1667,$D$4&lt;30000),'ค่าบำรุงรักษา (ระยะทาง)'!G12,IF(AND($D$2&gt;=1667,$D$4&lt;40000),'ค่าบำรุงรักษา (ระยะทาง)'!I12,IF(AND($D$2&gt;=1667,$D$4&lt;50000),'ค่าบำรุงรักษา (ระยะทาง)'!K12,IF(AND($D$2&gt;=1667,$D$4&lt;60000),'ค่าบำรุงรักษา (ระยะทาง)'!M12,IF(AND($D$2&gt;=1667,$D$4&lt;70000),'ค่าบำรุงรักษา (ระยะทาง)'!O12,IF(AND($D$2&gt;=1667,$D$4&lt;80000),'ค่าบำรุงรักษา (ระยะทาง)'!Q12,IF(AND($D$2&gt;=1667,$D$4&lt;90000),'ค่าบำรุงรักษา (ระยะทาง)'!S12,IF(AND($D$2&gt;=1667,$D$4&lt;100000),'ค่าบำรุงรักษา (ระยะทาง)'!U12,IF(AND($D$2&gt;=1667,$D$4&lt;110000),'ค่าบำรุงรักษา (ระยะทาง)'!W12,IF(AND($D$2&gt;=1667,$D$4&lt;120000),'ค่าบำรุงรักษา (ระยะทาง)'!Y12,IF(AND($D$2&gt;=1667,$D$4&lt;130000),'ค่าบำรุงรักษา (ระยะทาง)'!AA12,IF(AND($D$2&gt;=1667,$D$4&lt;140000),'ค่าบำรุงรักษา (ระยะทาง)'!AC12,IF(AND($D$2&gt;=1667,$D$4&lt;150000),'ค่าบำรุงรักษา (ระยะทาง)'!AE12,IF(AND($D$2&gt;=1667,$D$4&lt;160000),'ค่าบำรุงรักษา (ระยะทาง)'!AG12,IF(AND($D$2&gt;=1667,$D$4&lt;170000),'ค่าบำรุงรักษา (ระยะทาง)'!AI12,IF(AND($D$2&gt;=1667,$D$4&lt;180000),'ค่าบำรุงรักษา (ระยะทาง)'!AK12,IF(AND($D$2&gt;=1667,$D$4&lt;190000),'ค่าบำรุงรักษา (ระยะทาง)'!AM12,IF(AND($D$2&gt;=1667,$D$4&lt;200000),'ค่าบำรุงรักษา (ระยะทาง)'!AO12,IF(AND($D$2&gt;=1667,$D$4&lt;210000),'ค่าบำรุงรักษา (ระยะทาง)'!AQ12,IF(AND($D$2&gt;=1667,$D$4&lt;220000),'ค่าบำรุงรักษา (ระยะทาง)'!AS12,IF(AND($D$2&gt;=1667,$D$4&lt;220000),'ค่าบำรุงรักษา (ระยะทาง)'!AU12,IF(AND($D$2&gt;=1667,$D$4&lt;240000),'ค่าบำรุงรักษา (ระยะทาง)'!AW12,IF(AND($D$2&gt;=1667,$D$4&lt;250000),'ค่าบำรุงรักษา (ระยะทาง)'!AY12,IF(AND($D$2&gt;=1667,$D$4&lt;260000),'ค่าบำรุงรักษา (ระยะทาง)'!BA12,IF(AND($D$2&gt;=1667,$D$4&lt;270000),'ค่าบำรุงรักษา (ระยะทาง)'!BC12,IF(AND($D$2&gt;=1667,$D$4&lt;280000),'ค่าบำรุงรักษา (ระยะทาง)'!BE12,IF(AND($D$2&gt;=1667,$D$4&lt;290000),'ค่าบำรุงรักษา (ระยะทาง)'!BG12,IF(AND($D$2&gt;=1667,$D$4&lt;300000),'ค่าบำรุงรักษา (ระยะทาง)'!BH10,IF(AND($D$2&gt;=1667,$D$4&lt;310000),'ค่าบำรุงรักษา (ระยะทาง)'!BK12,IF(AND($D$2&gt;=1667,$D$4&lt;320000),'ค่าบำรุงรักษา (ระยะทาง)'!BM12,IF(AND($D$2&gt;=1667,$D$4&lt;330000),'ค่าบำรุงรักษา (ระยะทาง)'!BO12,IF(AND($D$2&gt;=1667,$D$4&lt;340000),'ค่าบำรุงรักษา (ระยะทาง)'!BQ12,IF(AND($D$2&gt;=1667,$D$4&lt;350000),'ค่าบำรุงรักษา (ระยะทาง)'!BS12,IF(AND($D$2&gt;=1667,$D$4&lt;370000),'ค่าบำรุงรักษา (ระยะทาง)'!BW12,IF(AND($D$2&gt;=1667,$D$4&lt;380000),'ค่าบำรุงรักษา (ระยะทาง)'!BY12,IF(AND($D$2&gt;=1667,$D$4&lt;390000),'ค่าบำรุงรักษา (ระยะทาง)'!CA12,IF(AND($D$2&gt;=1667,$D$4&lt;400000),'ค่าบำรุงรักษา (ระยะทาง)'!CC12,IF(AND($D$2&gt;=1667,$D$4&lt;430000),'ค่าบำรุงรักษา (ระยะทาง)'!CE12,IF(AND($D$2&gt;=1667,$D$4&lt;430000),'ค่าบำรุงรักษา (ระยะทาง)'!CI12,IF(AND($D$2&gt;=1667,$D$4&lt;440000),'ค่าบำรุงรักษา (ระยะทาง)'!CK12,IF(AND($D$2&gt;=1667,$D$4&lt;460000),'ค่าบำรุงรักษา (ระยะทาง)'!CO12,IF(AND($D$2&gt;=1667,$D$4&lt;470000),'ค่าบำรุงรักษา (ระยะทาง)'!CQ12,IF(AND($D$2&gt;=1667,$D$4&lt;480000),'ค่าบำรุงรักษา (ระยะทาง)'!CS12,IF(AND($D$2&gt;=1667,$D$4&lt;490000),'ค่าบำรุงรักษา (ระยะทาง)'!CU12))))))))))))))))))))))))))))))))))))))))))))))))))))))))))))))))</f>
        <v>6150</v>
      </c>
      <c r="L15" s="55">
        <f>$D$4*$I$3/B15</f>
        <v>42536.84210526316</v>
      </c>
      <c r="M15" s="56">
        <f t="shared" si="1"/>
        <v>735326.05210526311</v>
      </c>
    </row>
    <row r="16" spans="1:13" ht="24.6">
      <c r="A16" s="38" t="s">
        <v>120</v>
      </c>
      <c r="B16" s="54">
        <f>ค่าพลังงาน!B15</f>
        <v>6.5</v>
      </c>
      <c r="C16" s="55">
        <f>ราคาเริ่มต้น!B13</f>
        <v>579900</v>
      </c>
      <c r="D16" s="55">
        <f>IF($D$3=1,ราคาเริ่มต้น!D13,IF($D$3=2,ราคาเริ่มต้น!E13,IF($D$3=3,ราคาเริ่มต้น!F13,IF($D$3=4,ราคาเริ่มต้น!G13,IF($D$3=5,ราคาเริ่มต้น!H13,IF($D$3=6,ราคาเริ่มต้น!I13,IF($D$3=7,ราคาเริ่มต้น!J13,IF($D$3=8,ราคาเริ่มต้น!K13,IF($D$3=9,ราคาเริ่มต้น!L13,IF($D$3=10,ราคาเริ่มต้น!M13,IF($D$3=11,ราคาเริ่มต้น!N13,IF($D$3=12,ราคาเริ่มต้น!O13,IF($D$3=13,ราคาเริ่มต้น!P13,IF($D$3=14,ราคาเริ่มต้น!Q13,IF($D$3=15,ราคาเริ่มต้น!R13,IF($D$3=16,ราคาเริ่มต้น!S13,IF($D$3=17,ราคาเริ่มต้น!T13,IF($D$3=18,ราคาเริ่มต้น!U13,IF($D$3=19,ราคาเริ่มต้น!V13,IF($D$3=20,ราคาเริ่มต้น!W13))))))))))))))))))))</f>
        <v>463920</v>
      </c>
      <c r="E16" s="55">
        <f>IF($D$3=1,ภาษีประจำปี!C13,IF($D$3=2,ภาษีประจำปี!E13,IF($D$3=3,ภาษีประจำปี!F13,IF($D$3=4,ภาษีประจำปี!I13,IF($D$3=5,ภาษีประจำปี!K13,IF($D$3=6,ภาษีประจำปี!M13,IF($D$3=7,ภาษีประจำปี!O13,IF($D$3=8,ภาษีประจำปี!Q13,IF($D$3=9,ภาษีประจำปี!S13,IF($D$3=10,ภาษีประจำปี!U13,IF($D$3=11,ภาษีประจำปี!W13,IF($D$3=12,ภาษีประจำปี!Y13,IF($D$3=13,ภาษีประจำปี!AA13,IF($D$3=14,ภาษีประจำปี!AC13,IF($D$3=15,ภาษีประจำปี!AE13,IF($D$3=16,ภาษีประจำปี!AG13,IF($D$3=17,ภาษีประจำปี!AI13,IF($D$3=18,ภาษีประจำปี!AK13,IF($D$3=19,ภาษีประจำปี!AM13,IF($D$3=20,ภาษีประจำปี!AO13))))))))))))))))))))</f>
        <v>260</v>
      </c>
      <c r="F16" s="55">
        <f>IF($D$3=1,ประกันภัยบังคับ!B13,IF($D$3=2,ประกันภัยบังคับ!C13,IF($D$3=3,ประกันภัยบังคับ!D13,IF($D$3=4,ประกันภัยบังคับ!E13,IF($D$3=5,ประกันภัยบังคับ!F13,IF($D$3=6,ประกันภัยบังคับ!G13,IF($D$3=7,ประกันภัยบังคับ!H13,IF($D$3=8,ประกันภัยบังคับ!I13,IF($D$3=9,ประกันภัยบังคับ!J13,IF($D$3=10,ประกันภัยบังคับ!K13,IF($D$3=11,ประกันภัยบังคับ!L13,IF($D$3=12,ประกันภัยบังคับ!M13,IF($D$3=13,ประกันภัยบังคับ!N13,IF($D$3=14,ประกันภัยบังคับ!O13,IF($D$3=15,ประกันภัยบังคับ!P13,IF($D$3=16,ประกันภัยบังคับ!Q13,IF($D$3=17,ประกันภัยบังคับ!R13,IF($D$3=18,ประกันภัยบังคับ!S13,IF($D$3=19,ประกันภัยบังคับ!T13,IF($D$3=20,ประกันภัยบังคับ!U13))))))))))))))))))))</f>
        <v>645.21</v>
      </c>
      <c r="G16" s="55">
        <f>IF($D$3=1,ประกันภัยชั้น1!C13,IF($D$3=2,ประกันภัยชั้น1!E13,IF($D$3=3,ประกันภัยชั้น1!G13,IF($D$3=4,ประกันภัยชั้น1!I13,IF($D$3=5,ประกันภัยชั้น1!K13,IF($D$3=6,ประกันภัยชั้น1!M13,IF($D$3=7,ประกันภัยชั้น1!O13,IF($D$3=8,ประกันภัยชั้น1!Q13,IF($D$3=9,ประกันภัยชั้น1!S13,IF($D$3=10,ประกันภัยชั้น1!U13,IF($D$3=11,ประกันภัยชั้น1!W13,IF($D$3=12,ประกันภัยชั้น1!Y13,IF($D$3=13,ประกันภัยชั้น1!AA13,IF($D$3=14,ประกันภัยชั้น1!AC13,IF($D$3=15,ประกันภัยชั้น1!AE13,IF($D$3=16,ประกันภัยชั้น1!AG13,IF($D$3=17,ประกันภัยชั้น1!AI13,IF($D$3=18,ประกันภัยชั้น1!AK13,IF($D$3=19,ประกันภัยชั้น1!AM13,IF($D$3=20,ประกันภัยชั้น1!AO13))))))))))))))))))))</f>
        <v>30941</v>
      </c>
      <c r="H16" s="55">
        <f>IF(AND($D$2&lt;1667,$D$3=1),'ยางรถ (ปี)'!B15,IF(AND($D$2&lt;1667,$D$3=2),'ยางรถ (ปี)'!C15,IF(AND($D$2&lt;1667,$D$3=3),'ยางรถ (ปี)'!C15,IF(AND($D$2&lt;1667,$D$3=4),'ยางรถ (ปี)'!E15,IF(AND($D$2&lt;1667,$D$3=5),'ยางรถ (ปี)'!E15,IF(AND($D$2&lt;1667,$D$3=6),'ยางรถ (ปี)'!G15,IF(AND($D$2&lt;1667,$D$3=7),'ยางรถ (ปี)'!G15,IF(AND($D$2&lt;1667,$D$3=8),'ยางรถ (ปี)'!I15,IF(AND($D$2&lt;1667,$D$3=9),'ยางรถ (ปี)'!I15,IF(AND($D$2&lt;1667,$D$3=10),'ยางรถ (ปี)'!K15,IF(AND($D$2&lt;1667,$D$3=11),'ยางรถ (ปี)'!K15,IF(AND($D$2&lt;1667,$D$3=12),'ยางรถ (ปี)'!M15,IF(AND($D$2&lt;1667,$D$3=13),'ยางรถ (ปี)'!M15,IF(AND($D$2&lt;1667,$D$3=14),'ยางรถ (ปี)'!O15,IF(AND($D$2&lt;1667,$D$3=15),'ยางรถ (ปี)'!O15,IF(AND($D$2&lt;1667,$D$3=16),'ยางรถ (ปี)'!Q15,IF(AND($D$2&lt;1667,$D$3=17),'ยางรถ (ปี)'!Q15,IF(AND($D$2&lt;1667,$D$3=18),'ยางรถ (ปี)'!S15,IF(AND($D$2&lt;1667,$D$3=19),'ยางรถ (ปี)'!S15,IF(AND($D$2&lt;1667,$D$3=20),'ยางรถ (ปี)'!U15,IF(AND($D$2&lt;1667,$D$3=21),'ยางรถ (ปี)'!V15,IF(AND($D$2&gt;=1667,$D$4&lt;40000),0,IF(AND($D$2&gt;=1667, $D$4&lt;80000),'ยางรถ(ระยะทาง)'!F13,IF(AND($D$2&gt;=1667, $D$4&lt;120000),'ยางรถ(ระยะทาง)'!L13,IF(AND($D$2&gt;=1667, $D$4&lt;160000),'ยางรถ(ระยะทาง)'!R13,IF(AND($D$2&gt;=1667, $D$4&lt;200000),'ยางรถ(ระยะทาง)'!X13,IF(AND($D$2&gt;=1667, $D$4&lt;240000),'ยางรถ(ระยะทาง)'!Y13,IF(AND($D$2&gt;=1667, $D$4&lt;280000),'ยางรถ(ระยะทาง)'!AE13,IF(AND($D$2&gt;=1667, $D$4&lt;320000),'ยางรถ(ระยะทาง)'!AK13,IF(AND($D$2&gt;=1667, $D$4&lt;360000),'ยางรถ(ระยะทาง)'!AQ13,IF(AND($D$2&gt;=1667, $D$4&lt;400000),'ยางรถ(ระยะทาง)'!AW13,IF(AND($D$2&gt;=1667, $D$4&lt;440000),'ยางรถ(ระยะทาง)'!AX13,IF(AND($D$2&gt;=1667, $D$4&lt;480000),'ยางรถ(ระยะทาง)'!BC13,IF(AND($D$2&gt;=1667, $D$4&lt;520000),'ยางรถ(ระยะทาง)'!BI13,IF(AND($D$2&gt;=1667, $D$4&lt;560000),'ยางรถ(ระยะทาง)'!BK13,IF(AND($D$2&gt;=1667, $D$4&lt;600000),'ยางรถ(ระยะทาง)'!BM13,IF(AND($D$2&gt;=1667, $D$4&lt;640000),'ยางรถ(ระยะทาง)'!BN13,IF(AND($D$2&gt;=1667, $D$4&lt;680000),'ยางรถ(ระยะทาง)'!BO13,IF(AND($D$2&gt;=1667, $D$4&lt;720000),'ยางรถ(ระยะทาง)'!BQ13,IF(AND($D$2&gt;=1667, $D$4&lt;760000),'ยางรถ(ระยะทาง)'!BS13,IF(AND($D$2&gt;=1667, $D$4&lt;800000),'ยางรถ(ระยะทาง)'!BU13)))))))))))))))))))))))))))))))))))))))))</f>
        <v>0</v>
      </c>
      <c r="I16" s="55">
        <f>IF(AND($D$2&lt;1667,$D$3=1),'แบตเตอร์รี่ (ปี)'!B13,IF(AND($D$2&lt;1667,$D$3=2),'แบตเตอร์รี่ (ปี)'!C13,IF(AND($D$2&lt;1667,$D$3=3),'แบตเตอร์รี่ (ปี)'!C13,IF(AND($D$2&lt;1667,$D$3=4),'แบตเตอร์รี่ (ปี)'!E13,IF(AND($D$2&lt;1667,$D$3=5),'แบตเตอร์รี่ (ปี)'!E13,IF(AND($D$2&lt;1667,$D$3=6),'แบตเตอร์รี่ (ปี)'!G13,IF(AND($D$2&lt;1667,$D$3=7),'แบตเตอร์รี่ (ปี)'!G13,IF(AND($D$2&lt;1667,$D$3=8),'แบตเตอร์รี่ (ปี)'!I13,IF(AND($D$2&lt;1667,$D$3=9),'แบตเตอร์รี่ (ปี)'!I13,IF(AND($D$2&lt;1667,$D$3=10),'แบตเตอร์รี่ (ปี)'!K13,IF(AND($D$2&lt;1667,$D$3=11),'แบตเตอร์รี่ (ปี)'!K13,IF(AND($D$2&lt;1667,$D$3=12),'แบตเตอร์รี่ (ปี)'!M13,IF(AND($D$2&lt;1667,$D$3=13),'แบตเตอร์รี่ (ปี)'!M13,IF(AND($D$2&lt;1667,$D$3=14),'แบตเตอร์รี่ (ปี)'!O13,IF(AND($D$2&lt;1667,$D$3=15),'แบตเตอร์รี่ (ปี)'!O13,IF(AND($D$2&lt;1667,$D$3=16),'แบตเตอร์รี่ (ปี)'!Q13,IF(AND($D$2&lt;1667,$D$3=17),'แบตเตอร์รี่ (ปี)'!Q13,IF(AND($D$2&lt;1667,$D$3=18),'แบตเตอร์รี่ (ปี)'!S13,IF(AND($D$2&lt;1667,$D$3=19),'แบตเตอร์รี่ (ปี)'!S13,IF(AND($D$2&lt;1667,$D$3=20),'แบตเตอร์รี่ (ปี)'!U13,IF(AND($D$2&gt;=1667,$D$4&lt;40000),0,IF(AND($D$2&gt;=1667,$D$4&lt;80000),'แบตเตอรี(ระยะทาง) '!E13,IF(AND($D$2&gt;=1667,$D$4&lt;120000),'แบตเตอรี(ระยะทาง) '!I13,IF(AND($D$2&gt;=1667,$D$4&lt;160000),'แบตเตอรี(ระยะทาง) '!M13,IF(AND($D$2&gt;=1667,$D$4&lt;200000),'แบตเตอรี(ระยะทาง) '!Q13,IF(AND($D$2&gt;=1667,$D$4&lt;240000),'แบตเตอรี(ระยะทาง) '!E13,IF(AND($D$2&gt;=1667,$D$4&lt;280000),'แบตเตอรี(ระยะทาง) '!Y13,IF(AND($D$2&gt;=1667,$D$4&lt;320000),'แบตเตอรี(ระยะทาง) '!AC13,IF(AND($D$2&gt;=1667,$D$4&lt;360000),'แบตเตอรี(ระยะทาง) '!AG13,IF(AND($D$2&gt;=1667,$D$4&lt;400000),'แบตเตอรี(ระยะทาง) '!AK13,IF(AND($D$2&gt;=1667,$D$4&lt;440000),'แบตเตอรี(ระยะทาง) '!AO13,IF(AND($D$2&gt;=1667,$D$4&lt;480000),'แบตเตอรี(ระยะทาง) '!AS13,IF(AND($D$2&gt;=1667,$D$4&lt;50000),'แบตเตอรี(ระยะทาง) '!AW13,)))))))))))))))))))))))))))))))))</f>
        <v>0</v>
      </c>
      <c r="J16" s="55">
        <f>IF(AND($D$2&lt;1667,$D$3=1),'แบตเตอรีไฟฟ้า (ปี)'!B13,IF(AND($D$2&lt;1667,$D$3=2),'แบตเตอรีไฟฟ้า (ปี)'!C13,IF(AND($D$2&lt;1667,$D$3=3),'แบตเตอรีไฟฟ้า (ปี)'!D13,IF(AND($D$2&lt;1667,$D$3=4),'แบตเตอรีไฟฟ้า (ปี)'!E13,IF(AND($D$2&lt;1667,$D$3=5),'แบตเตอรีไฟฟ้า (ปี)'!F13,IF(AND($D$2&lt;1667,$D$3=6),'แบตเตอรีไฟฟ้า (ปี)'!G13,IF(AND($D$2&lt;1667,$D$3=7),'แบตเตอรีไฟฟ้า (ปี)'!H13,IF(AND($D$2&lt;1667,$D$3=8),'แบตเตอรีไฟฟ้า (ปี)'!I13,IF(AND($D$2&lt;1667,$D$3=9),'แบตเตอรีไฟฟ้า (ปี)'!I13,IF(AND($D$2&lt;1667,$D$3=10),'แบตเตอรีไฟฟ้า (ปี)'!K13,IF(AND($D$2&lt;1667,$D$3=11),'แบตเตอรีไฟฟ้า (ปี)'!I13,IF(AND($D$2&lt;1667,$D$3=12),'แบตเตอรีไฟฟ้า (ปี)'!I13,IF(AND($D$2&lt;1667,$D$3=13),'แบตเตอรีไฟฟ้า (ปี)'!I13,IF(AND($D$2&lt;1667,$D$3=14),'แบตเตอรีไฟฟ้า (ปี)'!I13,IF(AND($D$2&lt;1667,$D$3=15),'แบตเตอรีไฟฟ้า (ปี)'!I13,IF(AND($D$2&lt;1667,$D$3=16),'แบตเตอรีไฟฟ้า (ปี)'!Q13,IF(AND($D$2&lt;1667,$D$3=17),'แบตเตอรีไฟฟ้า (ปี)'!Q13,IF(AND($D$2&lt;1667,$D$3=18),'แบตเตอรีไฟฟ้า (ปี)'!Q13,IF(AND($D$2&lt;1667,$D$3=19),'แบตเตอรีไฟฟ้า (ปี)'!Q13,IF(AND($D$2&lt;1667,$D$3=20),'แบตเตอรีไฟฟ้า (ปี)'!Q13,IF(AND($D$2&gt;=1667,$D$4&lt;170000),0,IF(AND($D$2&gt;=1667,$D$4&lt;340000),'แบตเตอรีรถไฟฟ้า(ระยะทาง)'!R13,IF(AND($D$2&gt;=1667,$D$4&lt;510000),'แบตเตอรีรถไฟฟ้า(ระยะทาง)'!AI13,)))))))))))))))))))))))</f>
        <v>0</v>
      </c>
      <c r="K16" s="55">
        <f>IF(AND($D$2&lt;1667,$D$3=1),'ค่าบำรุงรักษา(ปี)'!F13,IF(AND($D$2&lt;1667,$D$3=2),'ค่าบำรุงรักษา(ปี)'!J13,IF(AND($D$2&lt;1667,$D$3=3),'ค่าบำรุงรักษา(ปี)'!N13,IF(AND($D$2&lt;1667,$D$3=4),'ค่าบำรุงรักษา(ปี)'!R13,IF(AND($D$2&lt;1667,$D$3=5),'ค่าบำรุงรักษา(ปี)'!V13,IF(AND($D$2&lt;1667,$D$3=6),'ค่าบำรุงรักษา(ปี)'!Z13,IF(AND($D$2&lt;1667,$D$3=7),'ค่าบำรุงรักษา(ปี)'!AD13,IF(AND($D$2&lt;1667,$D$3=8),'ค่าบำรุงรักษา(ปี)'!AH13,IF(AND($D$2&lt;1667,$D$3=9),'ค่าบำรุงรักษา(ปี)'!AL13,IF(AND($D$2&lt;1667,$D$3=10),'ค่าบำรุงรักษา(ปี)'!AP13,IF(AND($D$2&lt;1667,$D$3=11),'ค่าบำรุงรักษา(ปี)'!AT13,IF(AND($D$2&lt;1667,$D$3=12),'ค่าบำรุงรักษา(ปี)'!AX13,IF(AND($D$2&lt;1667,$D$3=13),'ค่าบำรุงรักษา(ปี)'!BB13,IF(AND($D$2&lt;1667,$D$3=14),'ค่าบำรุงรักษา(ปี)'!BF13,IF(AND($D$2&lt;1667,$D$3=15),'ค่าบำรุงรักษา(ปี)'!BJ13,IF(AND($D$2&lt;1667,$D$3=16),'ค่าบำรุงรักษา(ปี)'!BN13,IF(AND($D$2&lt;1667,$D$3=17),'ค่าบำรุงรักษา(ปี)'!BR13,IF(AND($D$2&lt;1667,$D$3=18),'ค่าบำรุงรักษา(ปี)'!BV13,IF(AND($D$2&lt;1667,$D$3=19),'ค่าบำรุงรักษา(ปี)'!BZ13,IF(AND($D$2&lt;1667,$D$3=20),'ค่าบำรุงรักษา(ปี)'!CD13,IF(AND($D$2&gt;=1667,$D$4&lt;30000),'ค่าบำรุงรักษา (ระยะทาง)'!G13,IF(AND($D$2&gt;=1667,$D$4&lt;40000),'ค่าบำรุงรักษา (ระยะทาง)'!I13,IF(AND($D$2&gt;=1667,$D$4&lt;50000),'ค่าบำรุงรักษา (ระยะทาง)'!K13,IF(AND($D$2&gt;=1667,$D$4&lt;60000),'ค่าบำรุงรักษา (ระยะทาง)'!M13,IF(AND($D$2&gt;=1667,$D$4&lt;70000),'ค่าบำรุงรักษา (ระยะทาง)'!O13,IF(AND($D$2&gt;=1667,$D$4&lt;80000),'ค่าบำรุงรักษา (ระยะทาง)'!Q13,IF(AND($D$2&gt;=1667,$D$4&lt;90000),'ค่าบำรุงรักษา (ระยะทาง)'!S13,IF(AND($D$2&gt;=1667,$D$4&lt;100000),'ค่าบำรุงรักษา (ระยะทาง)'!U13,IF(AND($D$2&gt;=1667,$D$4&lt;110000),'ค่าบำรุงรักษา (ระยะทาง)'!W13,IF(AND($D$2&gt;=1667,$D$4&lt;120000),'ค่าบำรุงรักษา (ระยะทาง)'!Y13,IF(AND($D$2&gt;=1667,$D$4&lt;130000),'ค่าบำรุงรักษา (ระยะทาง)'!AA13,IF(AND($D$2&gt;=1667,$D$4&lt;140000),'ค่าบำรุงรักษา (ระยะทาง)'!AC13,IF(AND($D$2&gt;=1667,$D$4&lt;150000),'ค่าบำรุงรักษา (ระยะทาง)'!AE13,IF(AND($D$2&gt;=1667,$D$4&lt;160000),'ค่าบำรุงรักษา (ระยะทาง)'!AG13,IF(AND($D$2&gt;=1667,$D$4&lt;170000),'ค่าบำรุงรักษา (ระยะทาง)'!AI13,IF(AND($D$2&gt;=1667,$D$4&lt;180000),'ค่าบำรุงรักษา (ระยะทาง)'!AK13,IF(AND($D$2&gt;=1667,$D$4&lt;190000),'ค่าบำรุงรักษา (ระยะทาง)'!AM13,IF(AND($D$2&gt;=1667,$D$4&lt;200000),'ค่าบำรุงรักษา (ระยะทาง)'!AO13,IF(AND($D$2&gt;=1667,$D$4&lt;210000),'ค่าบำรุงรักษา (ระยะทาง)'!AQ13,IF(AND($D$2&gt;=1667,$D$4&lt;220000),'ค่าบำรุงรักษา (ระยะทาง)'!AS13,IF(AND($D$2&gt;=1667,$D$4&lt;220000),'ค่าบำรุงรักษา (ระยะทาง)'!AU13,IF(AND($D$2&gt;=1667,$D$4&lt;240000),'ค่าบำรุงรักษา (ระยะทาง)'!AW13,IF(AND($D$2&gt;=1667,$D$4&lt;250000),'ค่าบำรุงรักษา (ระยะทาง)'!AY13,IF(AND($D$2&gt;=1667,$D$4&lt;260000),'ค่าบำรุงรักษา (ระยะทาง)'!BA13,IF(AND($D$2&gt;=1667,$D$4&lt;270000),'ค่าบำรุงรักษา (ระยะทาง)'!BC13,IF(AND($D$2&gt;=1667,$D$4&lt;280000),'ค่าบำรุงรักษา (ระยะทาง)'!BE13,IF(AND($D$2&gt;=1667,$D$4&lt;290000),'ค่าบำรุงรักษา (ระยะทาง)'!BG13,IF(AND($D$2&gt;=1667,$D$4&lt;300000),'ค่าบำรุงรักษา (ระยะทาง)'!BH11,IF(AND($D$2&gt;=1667,$D$4&lt;310000),'ค่าบำรุงรักษา (ระยะทาง)'!BK13,IF(AND($D$2&gt;=1667,$D$4&lt;320000),'ค่าบำรุงรักษา (ระยะทาง)'!BM13,IF(AND($D$2&gt;=1667,$D$4&lt;330000),'ค่าบำรุงรักษา (ระยะทาง)'!BO13,IF(AND($D$2&gt;=1667,$D$4&lt;340000),'ค่าบำรุงรักษา (ระยะทาง)'!BQ13,IF(AND($D$2&gt;=1667,$D$4&lt;350000),'ค่าบำรุงรักษา (ระยะทาง)'!BS13,IF(AND($D$2&gt;=1667,$D$4&lt;370000),'ค่าบำรุงรักษา (ระยะทาง)'!BW13,IF(AND($D$2&gt;=1667,$D$4&lt;380000),'ค่าบำรุงรักษา (ระยะทาง)'!BY13,IF(AND($D$2&gt;=1667,$D$4&lt;390000),'ค่าบำรุงรักษา (ระยะทาง)'!CA13,IF(AND($D$2&gt;=1667,$D$4&lt;400000),'ค่าบำรุงรักษา (ระยะทาง)'!CC13,IF(AND($D$2&gt;=1667,$D$4&lt;430000),'ค่าบำรุงรักษา (ระยะทาง)'!CE13,IF(AND($D$2&gt;=1667,$D$4&lt;430000),'ค่าบำรุงรักษา (ระยะทาง)'!CI13,IF(AND($D$2&gt;=1667,$D$4&lt;440000),'ค่าบำรุงรักษา (ระยะทาง)'!CK13,IF(AND($D$2&gt;=1667,$D$4&lt;460000),'ค่าบำรุงรักษา (ระยะทาง)'!CO13,IF(AND($D$2&gt;=1667,$D$4&lt;470000),'ค่าบำรุงรักษา (ระยะทาง)'!CQ13,IF(AND($D$2&gt;=1667,$D$4&lt;480000),'ค่าบำรุงรักษา (ระยะทาง)'!CS13,IF(AND($D$2&gt;=1667,$D$4&lt;490000),'ค่าบำรุงรักษา (ระยะทาง)'!CU13))))))))))))))))))))))))))))))))))))))))))))))))))))))))))))))))</f>
        <v>300</v>
      </c>
      <c r="L16" s="55">
        <f>$D$4*$I$4/B16</f>
        <v>11630.76923076923</v>
      </c>
      <c r="M16" s="56">
        <f>C16+E16+F16+G16+H16+I16+K16+L16+J16</f>
        <v>623676.97923076921</v>
      </c>
    </row>
    <row r="17" spans="1:13" ht="24.6">
      <c r="A17" s="38" t="s">
        <v>119</v>
      </c>
      <c r="B17" s="54">
        <f>ค่าพลังงาน!B16</f>
        <v>6.5</v>
      </c>
      <c r="C17" s="55">
        <f>ราคาเริ่มต้น!B14</f>
        <v>579900</v>
      </c>
      <c r="D17" s="55">
        <f>IF($D$3=1,ราคาเริ่มต้น!D14,IF($D$3=2,ราคาเริ่มต้น!E14,IF($D$3=3,ราคาเริ่มต้น!F14,IF($D$3=4,ราคาเริ่มต้น!G14,IF($D$3=5,ราคาเริ่มต้น!H14,IF($D$3=6,ราคาเริ่มต้น!I14,IF($D$3=7,ราคาเริ่มต้น!J14,IF($D$3=8,ราคาเริ่มต้น!K14,IF($D$3=9,ราคาเริ่มต้น!L14,IF($D$3=10,ราคาเริ่มต้น!M14,IF($D$3=11,ราคาเริ่มต้น!N14,IF($D$3=12,ราคาเริ่มต้น!O14,IF($D$3=13,ราคาเริ่มต้น!P14,IF($D$3=14,ราคาเริ่มต้น!Q14,IF($D$3=15,ราคาเริ่มต้น!R14,IF($D$3=16,ราคาเริ่มต้น!S14,IF($D$3=17,ราคาเริ่มต้น!T14,IF($D$3=18,ราคาเริ่มต้น!U14,IF($D$3=19,ราคาเริ่มต้น!V14,IF($D$3=20,ราคาเริ่มต้น!W14))))))))))))))))))))</f>
        <v>463920</v>
      </c>
      <c r="E17" s="55">
        <f>IF($D$3=1,ภาษีประจำปี!C14,IF($D$3=2,ภาษีประจำปี!E14,IF($D$3=3,ภาษีประจำปี!F14,IF($D$3=4,ภาษีประจำปี!I14,IF($D$3=5,ภาษีประจำปี!K14,IF($D$3=6,ภาษีประจำปี!M14,IF($D$3=7,ภาษีประจำปี!O14,IF($D$3=8,ภาษีประจำปี!Q14,IF($D$3=9,ภาษีประจำปี!S14,IF($D$3=10,ภาษีประจำปี!U14,IF($D$3=11,ภาษีประจำปี!W14,IF($D$3=12,ภาษีประจำปี!Y14,IF($D$3=13,ภาษีประจำปี!AA14,IF($D$3=14,ภาษีประจำปี!AC14,IF($D$3=15,ภาษีประจำปี!AE14,IF($D$3=16,ภาษีประจำปี!AG14,IF($D$3=17,ภาษีประจำปี!AI14,IF($D$3=18,ภาษีประจำปี!AK14,IF($D$3=19,ภาษีประจำปี!AM14,IF($D$3=20,ภาษีประจำปี!AO14))))))))))))))))))))</f>
        <v>260</v>
      </c>
      <c r="F17" s="55">
        <f>IF($D$3=1,ประกันภัยบังคับ!B14,IF($D$3=2,ประกันภัยบังคับ!C14,IF($D$3=3,ประกันภัยบังคับ!D14,IF($D$3=4,ประกันภัยบังคับ!E14,IF($D$3=5,ประกันภัยบังคับ!F14,IF($D$3=6,ประกันภัยบังคับ!G14,IF($D$3=7,ประกันภัยบังคับ!H14,IF($D$3=8,ประกันภัยบังคับ!I14,IF($D$3=9,ประกันภัยบังคับ!J14,IF($D$3=10,ประกันภัยบังคับ!K14,IF($D$3=11,ประกันภัยบังคับ!L14,IF($D$3=12,ประกันภัยบังคับ!M14,IF($D$3=13,ประกันภัยบังคับ!N14,IF($D$3=14,ประกันภัยบังคับ!O14,IF($D$3=15,ประกันภัยบังคับ!P14,IF($D$3=16,ประกันภัยบังคับ!Q14,IF($D$3=17,ประกันภัยบังคับ!R14,IF($D$3=18,ประกันภัยบังคับ!S14,IF($D$3=19,ประกันภัยบังคับ!T14,IF($D$3=20,ประกันภัยบังคับ!U14))))))))))))))))))))</f>
        <v>645.21</v>
      </c>
      <c r="G17" s="55">
        <f>IF($D$3=1,ประกันภัยชั้น1!C14,IF($D$3=2,ประกันภัยชั้น1!E14,IF($D$3=3,ประกันภัยชั้น1!G14,IF($D$3=4,ประกันภัยชั้น1!I14,IF($D$3=5,ประกันภัยชั้น1!K14,IF($D$3=6,ประกันภัยชั้น1!M14,IF($D$3=7,ประกันภัยชั้น1!O14,IF($D$3=8,ประกันภัยชั้น1!Q14,IF($D$3=9,ประกันภัยชั้น1!S14,IF($D$3=10,ประกันภัยชั้น1!U14,IF($D$3=11,ประกันภัยชั้น1!W14,IF($D$3=12,ประกันภัยชั้น1!Y14,IF($D$3=13,ประกันภัยชั้น1!AA14,IF($D$3=14,ประกันภัยชั้น1!AC14,IF($D$3=15,ประกันภัยชั้น1!AE14,IF($D$3=16,ประกันภัยชั้น1!AG14,IF($D$3=17,ประกันภัยชั้น1!AI14,IF($D$3=18,ประกันภัยชั้น1!AK14,IF($D$3=19,ประกันภัยชั้น1!AM14,IF($D$3=20,ประกันภัยชั้น1!AO14))))))))))))))))))))</f>
        <v>30941</v>
      </c>
      <c r="H17" s="55">
        <f>IF(AND($D$2&lt;1667,$D$3=1),'ยางรถ (ปี)'!B16,IF(AND($D$2&lt;1667,$D$3=2),'ยางรถ (ปี)'!C16,IF(AND($D$2&lt;1667,$D$3=3),'ยางรถ (ปี)'!C16,IF(AND($D$2&lt;1667,$D$3=4),'ยางรถ (ปี)'!E16,IF(AND($D$2&lt;1667,$D$3=5),'ยางรถ (ปี)'!E16,IF(AND($D$2&lt;1667,$D$3=6),'ยางรถ (ปี)'!G16,IF(AND($D$2&lt;1667,$D$3=7),'ยางรถ (ปี)'!G16,IF(AND($D$2&lt;1667,$D$3=8),'ยางรถ (ปี)'!I16,IF(AND($D$2&lt;1667,$D$3=9),'ยางรถ (ปี)'!I16,IF(AND($D$2&lt;1667,$D$3=10),'ยางรถ (ปี)'!K16,IF(AND($D$2&lt;1667,$D$3=11),'ยางรถ (ปี)'!K16,IF(AND($D$2&lt;1667,$D$3=12),'ยางรถ (ปี)'!M16,IF(AND($D$2&lt;1667,$D$3=13),'ยางรถ (ปี)'!M16,IF(AND($D$2&lt;1667,$D$3=14),'ยางรถ (ปี)'!O16,IF(AND($D$2&lt;1667,$D$3=15),'ยางรถ (ปี)'!O16,IF(AND($D$2&lt;1667,$D$3=16),'ยางรถ (ปี)'!Q16,IF(AND($D$2&lt;1667,$D$3=17),'ยางรถ (ปี)'!Q16,IF(AND($D$2&lt;1667,$D$3=18),'ยางรถ (ปี)'!S16,IF(AND($D$2&lt;1667,$D$3=19),'ยางรถ (ปี)'!S16,IF(AND($D$2&lt;1667,$D$3=20),'ยางรถ (ปี)'!U16,IF(AND($D$2&lt;1667,$D$3=21),'ยางรถ (ปี)'!V16,IF(AND($D$2&gt;=1667,$D$4&lt;40000),0,IF(AND($D$2&gt;=1667, $D$4&lt;80000),'ยางรถ(ระยะทาง)'!F14,IF(AND($D$2&gt;=1667, $D$4&lt;120000),'ยางรถ(ระยะทาง)'!L14,IF(AND($D$2&gt;=1667, $D$4&lt;160000),'ยางรถ(ระยะทาง)'!R14,IF(AND($D$2&gt;=1667, $D$4&lt;200000),'ยางรถ(ระยะทาง)'!X14,IF(AND($D$2&gt;=1667, $D$4&lt;240000),'ยางรถ(ระยะทาง)'!Y14,IF(AND($D$2&gt;=1667, $D$4&lt;280000),'ยางรถ(ระยะทาง)'!AE14,IF(AND($D$2&gt;=1667, $D$4&lt;320000),'ยางรถ(ระยะทาง)'!AK14,IF(AND($D$2&gt;=1667, $D$4&lt;360000),'ยางรถ(ระยะทาง)'!AQ14,IF(AND($D$2&gt;=1667, $D$4&lt;400000),'ยางรถ(ระยะทาง)'!AW14,IF(AND($D$2&gt;=1667, $D$4&lt;440000),'ยางรถ(ระยะทาง)'!AX14,IF(AND($D$2&gt;=1667, $D$4&lt;480000),'ยางรถ(ระยะทาง)'!BC14,IF(AND($D$2&gt;=1667, $D$4&lt;520000),'ยางรถ(ระยะทาง)'!BI14,IF(AND($D$2&gt;=1667, $D$4&lt;560000),'ยางรถ(ระยะทาง)'!BK14,IF(AND($D$2&gt;=1667, $D$4&lt;600000),'ยางรถ(ระยะทาง)'!BM14,IF(AND($D$2&gt;=1667, $D$4&lt;640000),'ยางรถ(ระยะทาง)'!BN14,IF(AND($D$2&gt;=1667, $D$4&lt;680000),'ยางรถ(ระยะทาง)'!BO14,IF(AND($D$2&gt;=1667, $D$4&lt;720000),'ยางรถ(ระยะทาง)'!BQ14,IF(AND($D$2&gt;=1667, $D$4&lt;760000),'ยางรถ(ระยะทาง)'!BS14,IF(AND($D$2&gt;=1667, $D$4&lt;800000),'ยางรถ(ระยะทาง)'!BU14)))))))))))))))))))))))))))))))))))))))))</f>
        <v>0</v>
      </c>
      <c r="I17" s="55">
        <f>IF(AND($D$2&lt;1667,$D$3=1),'แบตเตอร์รี่ (ปี)'!B14,IF(AND($D$2&lt;1667,$D$3=2),'แบตเตอร์รี่ (ปี)'!C14,IF(AND($D$2&lt;1667,$D$3=3),'แบตเตอร์รี่ (ปี)'!C14,IF(AND($D$2&lt;1667,$D$3=4),'แบตเตอร์รี่ (ปี)'!E14,IF(AND($D$2&lt;1667,$D$3=5),'แบตเตอร์รี่ (ปี)'!E14,IF(AND($D$2&lt;1667,$D$3=6),'แบตเตอร์รี่ (ปี)'!G14,IF(AND($D$2&lt;1667,$D$3=7),'แบตเตอร์รี่ (ปี)'!G14,IF(AND($D$2&lt;1667,$D$3=8),'แบตเตอร์รี่ (ปี)'!I14,IF(AND($D$2&lt;1667,$D$3=9),'แบตเตอร์รี่ (ปี)'!I14,IF(AND($D$2&lt;1667,$D$3=10),'แบตเตอร์รี่ (ปี)'!K14,IF(AND($D$2&lt;1667,$D$3=11),'แบตเตอร์รี่ (ปี)'!K14,IF(AND($D$2&lt;1667,$D$3=12),'แบตเตอร์รี่ (ปี)'!M14,IF(AND($D$2&lt;1667,$D$3=13),'แบตเตอร์รี่ (ปี)'!M14,IF(AND($D$2&lt;1667,$D$3=14),'แบตเตอร์รี่ (ปี)'!O14,IF(AND($D$2&lt;1667,$D$3=15),'แบตเตอร์รี่ (ปี)'!O14,IF(AND($D$2&lt;1667,$D$3=16),'แบตเตอร์รี่ (ปี)'!Q14,IF(AND($D$2&lt;1667,$D$3=17),'แบตเตอร์รี่ (ปี)'!Q14,IF(AND($D$2&lt;1667,$D$3=18),'แบตเตอร์รี่ (ปี)'!S14,IF(AND($D$2&lt;1667,$D$3=19),'แบตเตอร์รี่ (ปี)'!S14,IF(AND($D$2&lt;1667,$D$3=20),'แบตเตอร์รี่ (ปี)'!U14,IF(AND($D$2&gt;=1667,$D$4&lt;40000),0,IF(AND($D$2&gt;=1667,$D$4&lt;80000),'แบตเตอรี(ระยะทาง) '!E14,IF(AND($D$2&gt;=1667,$D$4&lt;120000),'แบตเตอรี(ระยะทาง) '!I14,IF(AND($D$2&gt;=1667,$D$4&lt;160000),'แบตเตอรี(ระยะทาง) '!M14,IF(AND($D$2&gt;=1667,$D$4&lt;200000),'แบตเตอรี(ระยะทาง) '!Q14,IF(AND($D$2&gt;=1667,$D$4&lt;240000),'แบตเตอรี(ระยะทาง) '!E14,IF(AND($D$2&gt;=1667,$D$4&lt;280000),'แบตเตอรี(ระยะทาง) '!Y14,IF(AND($D$2&gt;=1667,$D$4&lt;320000),'แบตเตอรี(ระยะทาง) '!AC14,IF(AND($D$2&gt;=1667,$D$4&lt;360000),'แบตเตอรี(ระยะทาง) '!AG14,IF(AND($D$2&gt;=1667,$D$4&lt;400000),'แบตเตอรี(ระยะทาง) '!AK14,IF(AND($D$2&gt;=1667,$D$4&lt;440000),'แบตเตอรี(ระยะทาง) '!AO14,IF(AND($D$2&gt;=1667,$D$4&lt;480000),'แบตเตอรี(ระยะทาง) '!AS14,IF(AND($D$2&gt;=1667,$D$4&lt;50000),'แบตเตอรี(ระยะทาง) '!AW14,)))))))))))))))))))))))))))))))))</f>
        <v>0</v>
      </c>
      <c r="J17" s="55">
        <f>IF(AND($D$2&lt;1667,$D$3=1),'แบตเตอรีไฟฟ้า (ปี)'!B14,IF(AND($D$2&lt;1667,$D$3=2),'แบตเตอรีไฟฟ้า (ปี)'!C14,IF(AND($D$2&lt;1667,$D$3=3),'แบตเตอรีไฟฟ้า (ปี)'!D14,IF(AND($D$2&lt;1667,$D$3=4),'แบตเตอรีไฟฟ้า (ปี)'!E14,IF(AND($D$2&lt;1667,$D$3=5),'แบตเตอรีไฟฟ้า (ปี)'!F14,IF(AND($D$2&lt;1667,$D$3=6),'แบตเตอรีไฟฟ้า (ปี)'!G14,IF(AND($D$2&lt;1667,$D$3=7),'แบตเตอรีไฟฟ้า (ปี)'!H14,IF(AND($D$2&lt;1667,$D$3=8),'แบตเตอรีไฟฟ้า (ปี)'!I14,IF(AND($D$2&lt;1667,$D$3=9),'แบตเตอรีไฟฟ้า (ปี)'!I14,IF(AND($D$2&lt;1667,$D$3=10),'แบตเตอรีไฟฟ้า (ปี)'!K14,IF(AND($D$2&lt;1667,$D$3=11),'แบตเตอรีไฟฟ้า (ปี)'!I14,IF(AND($D$2&lt;1667,$D$3=12),'แบตเตอรีไฟฟ้า (ปี)'!I14,IF(AND($D$2&lt;1667,$D$3=13),'แบตเตอรีไฟฟ้า (ปี)'!I14,IF(AND($D$2&lt;1667,$D$3=14),'แบตเตอรีไฟฟ้า (ปี)'!I14,IF(AND($D$2&lt;1667,$D$3=15),'แบตเตอรีไฟฟ้า (ปี)'!I14,IF(AND($D$2&lt;1667,$D$3=16),'แบตเตอรีไฟฟ้า (ปี)'!Q14,IF(AND($D$2&lt;1667,$D$3=17),'แบตเตอรีไฟฟ้า (ปี)'!Q14,IF(AND($D$2&lt;1667,$D$3=18),'แบตเตอรีไฟฟ้า (ปี)'!Q14,IF(AND($D$2&lt;1667,$D$3=19),'แบตเตอรีไฟฟ้า (ปี)'!Q14,IF(AND($D$2&lt;1667,$D$3=20),'แบตเตอรีไฟฟ้า (ปี)'!Q14,IF(AND($D$2&gt;=1667,$D$4&lt;170000),0,IF(AND($D$2&gt;=1667,$D$4&lt;340000),'แบตเตอรีรถไฟฟ้า(ระยะทาง)'!R14,IF(AND($D$2&gt;=1667,$D$4&lt;510000),'แบตเตอรีรถไฟฟ้า(ระยะทาง)'!AI14,)))))))))))))))))))))))</f>
        <v>0</v>
      </c>
      <c r="K17" s="55">
        <f>IF(AND($D$2&lt;1667,$D$3=1),'ค่าบำรุงรักษา(ปี)'!F14,IF(AND($D$2&lt;1667,$D$3=2),'ค่าบำรุงรักษา(ปี)'!J14,IF(AND($D$2&lt;1667,$D$3=3),'ค่าบำรุงรักษา(ปี)'!N14,IF(AND($D$2&lt;1667,$D$3=4),'ค่าบำรุงรักษา(ปี)'!R14,IF(AND($D$2&lt;1667,$D$3=5),'ค่าบำรุงรักษา(ปี)'!V14,IF(AND($D$2&lt;1667,$D$3=6),'ค่าบำรุงรักษา(ปี)'!Z14,IF(AND($D$2&lt;1667,$D$3=7),'ค่าบำรุงรักษา(ปี)'!AD14,IF(AND($D$2&lt;1667,$D$3=8),'ค่าบำรุงรักษา(ปี)'!AH14,IF(AND($D$2&lt;1667,$D$3=9),'ค่าบำรุงรักษา(ปี)'!AL14,IF(AND($D$2&lt;1667,$D$3=10),'ค่าบำรุงรักษา(ปี)'!AP14,IF(AND($D$2&lt;1667,$D$3=11),'ค่าบำรุงรักษา(ปี)'!AT14,IF(AND($D$2&lt;1667,$D$3=12),'ค่าบำรุงรักษา(ปี)'!AX14,IF(AND($D$2&lt;1667,$D$3=13),'ค่าบำรุงรักษา(ปี)'!BB14,IF(AND($D$2&lt;1667,$D$3=14),'ค่าบำรุงรักษา(ปี)'!BF14,IF(AND($D$2&lt;1667,$D$3=15),'ค่าบำรุงรักษา(ปี)'!BJ14,IF(AND($D$2&lt;1667,$D$3=16),'ค่าบำรุงรักษา(ปี)'!BN14,IF(AND($D$2&lt;1667,$D$3=17),'ค่าบำรุงรักษา(ปี)'!BR14,IF(AND($D$2&lt;1667,$D$3=18),'ค่าบำรุงรักษา(ปี)'!BV14,IF(AND($D$2&lt;1667,$D$3=19),'ค่าบำรุงรักษา(ปี)'!BZ14,IF(AND($D$2&lt;1667,$D$3=20),'ค่าบำรุงรักษา(ปี)'!CD14,IF(AND($D$2&gt;=1667,$D$4&lt;30000),'ค่าบำรุงรักษา (ระยะทาง)'!G14,IF(AND($D$2&gt;=1667,$D$4&lt;40000),'ค่าบำรุงรักษา (ระยะทาง)'!I14,IF(AND($D$2&gt;=1667,$D$4&lt;50000),'ค่าบำรุงรักษา (ระยะทาง)'!K14,IF(AND($D$2&gt;=1667,$D$4&lt;60000),'ค่าบำรุงรักษา (ระยะทาง)'!M14,IF(AND($D$2&gt;=1667,$D$4&lt;70000),'ค่าบำรุงรักษา (ระยะทาง)'!O14,IF(AND($D$2&gt;=1667,$D$4&lt;80000),'ค่าบำรุงรักษา (ระยะทาง)'!Q14,IF(AND($D$2&gt;=1667,$D$4&lt;90000),'ค่าบำรุงรักษา (ระยะทาง)'!S14,IF(AND($D$2&gt;=1667,$D$4&lt;100000),'ค่าบำรุงรักษา (ระยะทาง)'!U14,IF(AND($D$2&gt;=1667,$D$4&lt;110000),'ค่าบำรุงรักษา (ระยะทาง)'!W14,IF(AND($D$2&gt;=1667,$D$4&lt;120000),'ค่าบำรุงรักษา (ระยะทาง)'!Y14,IF(AND($D$2&gt;=1667,$D$4&lt;130000),'ค่าบำรุงรักษา (ระยะทาง)'!AA14,IF(AND($D$2&gt;=1667,$D$4&lt;140000),'ค่าบำรุงรักษา (ระยะทาง)'!AC14,IF(AND($D$2&gt;=1667,$D$4&lt;150000),'ค่าบำรุงรักษา (ระยะทาง)'!AE14,IF(AND($D$2&gt;=1667,$D$4&lt;160000),'ค่าบำรุงรักษา (ระยะทาง)'!AG14,IF(AND($D$2&gt;=1667,$D$4&lt;170000),'ค่าบำรุงรักษา (ระยะทาง)'!AI14,IF(AND($D$2&gt;=1667,$D$4&lt;180000),'ค่าบำรุงรักษา (ระยะทาง)'!AK14,IF(AND($D$2&gt;=1667,$D$4&lt;190000),'ค่าบำรุงรักษา (ระยะทาง)'!AM14,IF(AND($D$2&gt;=1667,$D$4&lt;200000),'ค่าบำรุงรักษา (ระยะทาง)'!AO14,IF(AND($D$2&gt;=1667,$D$4&lt;210000),'ค่าบำรุงรักษา (ระยะทาง)'!AQ14,IF(AND($D$2&gt;=1667,$D$4&lt;220000),'ค่าบำรุงรักษา (ระยะทาง)'!AS14,IF(AND($D$2&gt;=1667,$D$4&lt;220000),'ค่าบำรุงรักษา (ระยะทาง)'!AU14,IF(AND($D$2&gt;=1667,$D$4&lt;240000),'ค่าบำรุงรักษา (ระยะทาง)'!AW14,IF(AND($D$2&gt;=1667,$D$4&lt;250000),'ค่าบำรุงรักษา (ระยะทาง)'!AY14,IF(AND($D$2&gt;=1667,$D$4&lt;260000),'ค่าบำรุงรักษา (ระยะทาง)'!BA14,IF(AND($D$2&gt;=1667,$D$4&lt;270000),'ค่าบำรุงรักษา (ระยะทาง)'!BC14,IF(AND($D$2&gt;=1667,$D$4&lt;280000),'ค่าบำรุงรักษา (ระยะทาง)'!BE14,IF(AND($D$2&gt;=1667,$D$4&lt;290000),'ค่าบำรุงรักษา (ระยะทาง)'!BG14,IF(AND($D$2&gt;=1667,$D$4&lt;300000),'ค่าบำรุงรักษา (ระยะทาง)'!BH12,IF(AND($D$2&gt;=1667,$D$4&lt;310000),'ค่าบำรุงรักษา (ระยะทาง)'!BK14,IF(AND($D$2&gt;=1667,$D$4&lt;320000),'ค่าบำรุงรักษา (ระยะทาง)'!BM14,IF(AND($D$2&gt;=1667,$D$4&lt;330000),'ค่าบำรุงรักษา (ระยะทาง)'!BO14,IF(AND($D$2&gt;=1667,$D$4&lt;340000),'ค่าบำรุงรักษา (ระยะทาง)'!BQ14,IF(AND($D$2&gt;=1667,$D$4&lt;350000),'ค่าบำรุงรักษา (ระยะทาง)'!BS14,IF(AND($D$2&gt;=1667,$D$4&lt;370000),'ค่าบำรุงรักษา (ระยะทาง)'!BW14,IF(AND($D$2&gt;=1667,$D$4&lt;380000),'ค่าบำรุงรักษา (ระยะทาง)'!BY14,IF(AND($D$2&gt;=1667,$D$4&lt;390000),'ค่าบำรุงรักษา (ระยะทาง)'!CA14,IF(AND($D$2&gt;=1667,$D$4&lt;400000),'ค่าบำรุงรักษา (ระยะทาง)'!CC14,IF(AND($D$2&gt;=1667,$D$4&lt;430000),'ค่าบำรุงรักษา (ระยะทาง)'!CE14,IF(AND($D$2&gt;=1667,$D$4&lt;430000),'ค่าบำรุงรักษา (ระยะทาง)'!CI14,IF(AND($D$2&gt;=1667,$D$4&lt;440000),'ค่าบำรุงรักษา (ระยะทาง)'!CK14,IF(AND($D$2&gt;=1667,$D$4&lt;460000),'ค่าบำรุงรักษา (ระยะทาง)'!CO14,IF(AND($D$2&gt;=1667,$D$4&lt;470000),'ค่าบำรุงรักษา (ระยะทาง)'!CQ14,IF(AND($D$2&gt;=1667,$D$4&lt;480000),'ค่าบำรุงรักษา (ระยะทาง)'!CS14,IF(AND($D$2&gt;=1667,$D$4&lt;490000),'ค่าบำรุงรักษา (ระยะทาง)'!CU14))))))))))))))))))))))))))))))))))))))))))))))))))))))))))))))))</f>
        <v>300</v>
      </c>
      <c r="L17" s="55">
        <f t="shared" ref="L17:L21" si="2">$D$4*$I$4/B17</f>
        <v>11630.76923076923</v>
      </c>
      <c r="M17" s="56">
        <f t="shared" ref="M17:M21" si="3">C17+E17+F17+G17+H17+I17+K17+L17+J17</f>
        <v>623676.97923076921</v>
      </c>
    </row>
    <row r="18" spans="1:13" ht="24.6">
      <c r="A18" s="38" t="s">
        <v>122</v>
      </c>
      <c r="B18" s="54">
        <f>ค่าพลังงาน!B17</f>
        <v>5.5</v>
      </c>
      <c r="C18" s="55">
        <f>ราคาเริ่มต้น!B15</f>
        <v>699000</v>
      </c>
      <c r="D18" s="55">
        <f>IF($D$3=1,ราคาเริ่มต้น!D15,IF($D$3=2,ราคาเริ่มต้น!E15,IF($D$3=3,ราคาเริ่มต้น!F15,IF($D$3=4,ราคาเริ่มต้น!G15,IF($D$3=5,ราคาเริ่มต้น!H15,IF($D$3=6,ราคาเริ่มต้น!I15,IF($D$3=7,ราคาเริ่มต้น!J15,IF($D$3=8,ราคาเริ่มต้น!K15,IF($D$3=9,ราคาเริ่มต้น!L15,IF($D$3=10,ราคาเริ่มต้น!M15,IF($D$3=11,ราคาเริ่มต้น!N15,IF($D$3=12,ราคาเริ่มต้น!O15,IF($D$3=13,ราคาเริ่มต้น!P15,IF($D$3=14,ราคาเริ่มต้น!Q15,IF($D$3=15,ราคาเริ่มต้น!R15,IF($D$3=16,ราคาเริ่มต้น!S15,IF($D$3=17,ราคาเริ่มต้น!T15,IF($D$3=18,ราคาเริ่มต้น!U15,IF($D$3=19,ราคาเริ่มต้น!V15,IF($D$3=20,ราคาเริ่มต้น!W15))))))))))))))))))))</f>
        <v>559200</v>
      </c>
      <c r="E18" s="55">
        <f>IF($D$3=1,ภาษีประจำปี!C15,IF($D$3=2,ภาษีประจำปี!E15,IF($D$3=3,ภาษีประจำปี!F15,IF($D$3=4,ภาษีประจำปี!I15,IF($D$3=5,ภาษีประจำปี!K15,IF($D$3=6,ภาษีประจำปี!M15,IF($D$3=7,ภาษีประจำปี!O15,IF($D$3=8,ภาษีประจำปี!Q15,IF($D$3=9,ภาษีประจำปี!S15,IF($D$3=10,ภาษีประจำปี!U15,IF($D$3=11,ภาษีประจำปี!W15,IF($D$3=12,ภาษีประจำปี!Y15,IF($D$3=13,ภาษีประจำปี!AA15,IF($D$3=14,ภาษีประจำปี!AC15,IF($D$3=15,ภาษีประจำปี!AE15,IF($D$3=16,ภาษีประจำปี!AG15,IF($D$3=17,ภาษีประจำปี!AI15,IF($D$3=18,ภาษีประจำปี!AK15,IF($D$3=19,ภาษีประจำปี!AM15,IF($D$3=20,ภาษีประจำปี!AO15))))))))))))))))))))</f>
        <v>260</v>
      </c>
      <c r="F18" s="55">
        <f>IF($D$3=1,ประกันภัยบังคับ!B15,IF($D$3=2,ประกันภัยบังคับ!C15,IF($D$3=3,ประกันภัยบังคับ!D15,IF($D$3=4,ประกันภัยบังคับ!E15,IF($D$3=5,ประกันภัยบังคับ!F15,IF($D$3=6,ประกันภัยบังคับ!G15,IF($D$3=7,ประกันภัยบังคับ!H15,IF($D$3=8,ประกันภัยบังคับ!I15,IF($D$3=9,ประกันภัยบังคับ!J15,IF($D$3=10,ประกันภัยบังคับ!K15,IF($D$3=11,ประกันภัยบังคับ!L15,IF($D$3=12,ประกันภัยบังคับ!M15,IF($D$3=13,ประกันภัยบังคับ!N15,IF($D$3=14,ประกันภัยบังคับ!O15,IF($D$3=15,ประกันภัยบังคับ!P15,IF($D$3=16,ประกันภัยบังคับ!Q15,IF($D$3=17,ประกันภัยบังคับ!R15,IF($D$3=18,ประกันภัยบังคับ!S15,IF($D$3=19,ประกันภัยบังคับ!T15,IF($D$3=20,ประกันภัยบังคับ!U15))))))))))))))))))))</f>
        <v>645.21</v>
      </c>
      <c r="G18" s="55">
        <f>IF($D$3=1,ประกันภัยชั้น1!C15,IF($D$3=2,ประกันภัยชั้น1!E15,IF($D$3=3,ประกันภัยชั้น1!G15,IF($D$3=4,ประกันภัยชั้น1!I15,IF($D$3=5,ประกันภัยชั้น1!K15,IF($D$3=6,ประกันภัยชั้น1!M15,IF($D$3=7,ประกันภัยชั้น1!O15,IF($D$3=8,ประกันภัยชั้น1!Q15,IF($D$3=9,ประกันภัยชั้น1!S15,IF($D$3=10,ประกันภัยชั้น1!U15,IF($D$3=11,ประกันภัยชั้น1!W15,IF($D$3=12,ประกันภัยชั้น1!Y15,IF($D$3=13,ประกันภัยชั้น1!AA15,IF($D$3=14,ประกันภัยชั้น1!AC15,IF($D$3=15,ประกันภัยชั้น1!AE15,IF($D$3=16,ประกันภัยชั้น1!AG15,IF($D$3=17,ประกันภัยชั้น1!AI15,IF($D$3=18,ประกันภัยชั้น1!AK15,IF($D$3=19,ประกันภัยชั้น1!AM15,IF($D$3=20,ประกันภัยชั้น1!AO15))))))))))))))))))))</f>
        <v>32645</v>
      </c>
      <c r="H18" s="55">
        <f>IF(AND($D$2&lt;1667,$D$3=1),'ยางรถ (ปี)'!B17,IF(AND($D$2&lt;1667,$D$3=2),'ยางรถ (ปี)'!C17,IF(AND($D$2&lt;1667,$D$3=3),'ยางรถ (ปี)'!C17,IF(AND($D$2&lt;1667,$D$3=4),'ยางรถ (ปี)'!E17,IF(AND($D$2&lt;1667,$D$3=5),'ยางรถ (ปี)'!E17,IF(AND($D$2&lt;1667,$D$3=6),'ยางรถ (ปี)'!G17,IF(AND($D$2&lt;1667,$D$3=7),'ยางรถ (ปี)'!G17,IF(AND($D$2&lt;1667,$D$3=8),'ยางรถ (ปี)'!I17,IF(AND($D$2&lt;1667,$D$3=9),'ยางรถ (ปี)'!I17,IF(AND($D$2&lt;1667,$D$3=10),'ยางรถ (ปี)'!K17,IF(AND($D$2&lt;1667,$D$3=11),'ยางรถ (ปี)'!K17,IF(AND($D$2&lt;1667,$D$3=12),'ยางรถ (ปี)'!M17,IF(AND($D$2&lt;1667,$D$3=13),'ยางรถ (ปี)'!M17,IF(AND($D$2&lt;1667,$D$3=14),'ยางรถ (ปี)'!O17,IF(AND($D$2&lt;1667,$D$3=15),'ยางรถ (ปี)'!O17,IF(AND($D$2&lt;1667,$D$3=16),'ยางรถ (ปี)'!Q17,IF(AND($D$2&lt;1667,$D$3=17),'ยางรถ (ปี)'!Q17,IF(AND($D$2&lt;1667,$D$3=18),'ยางรถ (ปี)'!S17,IF(AND($D$2&lt;1667,$D$3=19),'ยางรถ (ปี)'!S17,IF(AND($D$2&lt;1667,$D$3=20),'ยางรถ (ปี)'!U17,IF(AND($D$2&lt;1667,$D$3=21),'ยางรถ (ปี)'!V17,IF(AND($D$2&gt;=1667,$D$4&lt;40000),0,IF(AND($D$2&gt;=1667, $D$4&lt;80000),'ยางรถ(ระยะทาง)'!F15,IF(AND($D$2&gt;=1667, $D$4&lt;120000),'ยางรถ(ระยะทาง)'!L15,IF(AND($D$2&gt;=1667, $D$4&lt;160000),'ยางรถ(ระยะทาง)'!R15,IF(AND($D$2&gt;=1667, $D$4&lt;200000),'ยางรถ(ระยะทาง)'!X15,IF(AND($D$2&gt;=1667, $D$4&lt;240000),'ยางรถ(ระยะทาง)'!Y15,IF(AND($D$2&gt;=1667, $D$4&lt;280000),'ยางรถ(ระยะทาง)'!AE15,IF(AND($D$2&gt;=1667, $D$4&lt;320000),'ยางรถ(ระยะทาง)'!AK15,IF(AND($D$2&gt;=1667, $D$4&lt;360000),'ยางรถ(ระยะทาง)'!AQ15,IF(AND($D$2&gt;=1667, $D$4&lt;400000),'ยางรถ(ระยะทาง)'!AW15,IF(AND($D$2&gt;=1667, $D$4&lt;440000),'ยางรถ(ระยะทาง)'!AX15,IF(AND($D$2&gt;=1667, $D$4&lt;480000),'ยางรถ(ระยะทาง)'!BC15,IF(AND($D$2&gt;=1667, $D$4&lt;520000),'ยางรถ(ระยะทาง)'!BI15,IF(AND($D$2&gt;=1667, $D$4&lt;560000),'ยางรถ(ระยะทาง)'!BK15,IF(AND($D$2&gt;=1667, $D$4&lt;600000),'ยางรถ(ระยะทาง)'!BM15,IF(AND($D$2&gt;=1667, $D$4&lt;640000),'ยางรถ(ระยะทาง)'!BN15,IF(AND($D$2&gt;=1667, $D$4&lt;680000),'ยางรถ(ระยะทาง)'!BO15,IF(AND($D$2&gt;=1667, $D$4&lt;720000),'ยางรถ(ระยะทาง)'!BQ15,IF(AND($D$2&gt;=1667, $D$4&lt;760000),'ยางรถ(ระยะทาง)'!BS15,IF(AND($D$2&gt;=1667, $D$4&lt;800000),'ยางรถ(ระยะทาง)'!BU15)))))))))))))))))))))))))))))))))))))))))</f>
        <v>0</v>
      </c>
      <c r="I18" s="55">
        <f>IF(AND($D$2&lt;1667,$D$3=1),'แบตเตอร์รี่ (ปี)'!B15,IF(AND($D$2&lt;1667,$D$3=2),'แบตเตอร์รี่ (ปี)'!C15,IF(AND($D$2&lt;1667,$D$3=3),'แบตเตอร์รี่ (ปี)'!C15,IF(AND($D$2&lt;1667,$D$3=4),'แบตเตอร์รี่ (ปี)'!E15,IF(AND($D$2&lt;1667,$D$3=5),'แบตเตอร์รี่ (ปี)'!E15,IF(AND($D$2&lt;1667,$D$3=6),'แบตเตอร์รี่ (ปี)'!G15,IF(AND($D$2&lt;1667,$D$3=7),'แบตเตอร์รี่ (ปี)'!G15,IF(AND($D$2&lt;1667,$D$3=8),'แบตเตอร์รี่ (ปี)'!I15,IF(AND($D$2&lt;1667,$D$3=9),'แบตเตอร์รี่ (ปี)'!I15,IF(AND($D$2&lt;1667,$D$3=10),'แบตเตอร์รี่ (ปี)'!K15,IF(AND($D$2&lt;1667,$D$3=11),'แบตเตอร์รี่ (ปี)'!K15,IF(AND($D$2&lt;1667,$D$3=12),'แบตเตอร์รี่ (ปี)'!M15,IF(AND($D$2&lt;1667,$D$3=13),'แบตเตอร์รี่ (ปี)'!M15,IF(AND($D$2&lt;1667,$D$3=14),'แบตเตอร์รี่ (ปี)'!O15,IF(AND($D$2&lt;1667,$D$3=15),'แบตเตอร์รี่ (ปี)'!O15,IF(AND($D$2&lt;1667,$D$3=16),'แบตเตอร์รี่ (ปี)'!Q15,IF(AND($D$2&lt;1667,$D$3=17),'แบตเตอร์รี่ (ปี)'!Q15,IF(AND($D$2&lt;1667,$D$3=18),'แบตเตอร์รี่ (ปี)'!S15,IF(AND($D$2&lt;1667,$D$3=19),'แบตเตอร์รี่ (ปี)'!S15,IF(AND($D$2&lt;1667,$D$3=20),'แบตเตอร์รี่ (ปี)'!U15,IF(AND($D$2&gt;=1667,$D$4&lt;40000),0,IF(AND($D$2&gt;=1667,$D$4&lt;80000),'แบตเตอรี(ระยะทาง) '!E15,IF(AND($D$2&gt;=1667,$D$4&lt;120000),'แบตเตอรี(ระยะทาง) '!I15,IF(AND($D$2&gt;=1667,$D$4&lt;160000),'แบตเตอรี(ระยะทาง) '!M15,IF(AND($D$2&gt;=1667,$D$4&lt;200000),'แบตเตอรี(ระยะทาง) '!Q15,IF(AND($D$2&gt;=1667,$D$4&lt;240000),'แบตเตอรี(ระยะทาง) '!E15,IF(AND($D$2&gt;=1667,$D$4&lt;280000),'แบตเตอรี(ระยะทาง) '!Y15,IF(AND($D$2&gt;=1667,$D$4&lt;320000),'แบตเตอรี(ระยะทาง) '!AC15,IF(AND($D$2&gt;=1667,$D$4&lt;360000),'แบตเตอรี(ระยะทาง) '!AG15,IF(AND($D$2&gt;=1667,$D$4&lt;400000),'แบตเตอรี(ระยะทาง) '!AK15,IF(AND($D$2&gt;=1667,$D$4&lt;440000),'แบตเตอรี(ระยะทาง) '!AO15,IF(AND($D$2&gt;=1667,$D$4&lt;480000),'แบตเตอรี(ระยะทาง) '!AS15,IF(AND($D$2&gt;=1667,$D$4&lt;50000),'แบตเตอรี(ระยะทาง) '!AW15,)))))))))))))))))))))))))))))))))</f>
        <v>0</v>
      </c>
      <c r="J18" s="55">
        <f>IF(AND($D$2&lt;1667,$D$3=1),'แบตเตอรีไฟฟ้า (ปี)'!B15,IF(AND($D$2&lt;1667,$D$3=2),'แบตเตอรีไฟฟ้า (ปี)'!C15,IF(AND($D$2&lt;1667,$D$3=3),'แบตเตอรีไฟฟ้า (ปี)'!D15,IF(AND($D$2&lt;1667,$D$3=4),'แบตเตอรีไฟฟ้า (ปี)'!E15,IF(AND($D$2&lt;1667,$D$3=5),'แบตเตอรีไฟฟ้า (ปี)'!F15,IF(AND($D$2&lt;1667,$D$3=6),'แบตเตอรีไฟฟ้า (ปี)'!G15,IF(AND($D$2&lt;1667,$D$3=7),'แบตเตอรีไฟฟ้า (ปี)'!H15,IF(AND($D$2&lt;1667,$D$3=8),'แบตเตอรีไฟฟ้า (ปี)'!I15,IF(AND($D$2&lt;1667,$D$3=9),'แบตเตอรีไฟฟ้า (ปี)'!I15,IF(AND($D$2&lt;1667,$D$3=10),'แบตเตอรีไฟฟ้า (ปี)'!K15,IF(AND($D$2&lt;1667,$D$3=11),'แบตเตอรีไฟฟ้า (ปี)'!I15,IF(AND($D$2&lt;1667,$D$3=12),'แบตเตอรีไฟฟ้า (ปี)'!I15,IF(AND($D$2&lt;1667,$D$3=13),'แบตเตอรีไฟฟ้า (ปี)'!I15,IF(AND($D$2&lt;1667,$D$3=14),'แบตเตอรีไฟฟ้า (ปี)'!I15,IF(AND($D$2&lt;1667,$D$3=15),'แบตเตอรีไฟฟ้า (ปี)'!I15,IF(AND($D$2&lt;1667,$D$3=16),'แบตเตอรีไฟฟ้า (ปี)'!Q15,IF(AND($D$2&lt;1667,$D$3=17),'แบตเตอรีไฟฟ้า (ปี)'!Q15,IF(AND($D$2&lt;1667,$D$3=18),'แบตเตอรีไฟฟ้า (ปี)'!Q15,IF(AND($D$2&lt;1667,$D$3=19),'แบตเตอรีไฟฟ้า (ปี)'!Q15,IF(AND($D$2&lt;1667,$D$3=20),'แบตเตอรีไฟฟ้า (ปี)'!Q15,IF(AND($D$2&gt;=1667,$D$4&lt;170000),0,IF(AND($D$2&gt;=1667,$D$4&lt;340000),'แบตเตอรีรถไฟฟ้า(ระยะทาง)'!R15,IF(AND($D$2&gt;=1667,$D$4&lt;510000),'แบตเตอรีรถไฟฟ้า(ระยะทาง)'!AI15,)))))))))))))))))))))))</f>
        <v>0</v>
      </c>
      <c r="K18" s="55">
        <f>IF(AND($D$2&lt;1667,$D$3=1),'ค่าบำรุงรักษา(ปี)'!F15,IF(AND($D$2&lt;1667,$D$3=2),'ค่าบำรุงรักษา(ปี)'!J15,IF(AND($D$2&lt;1667,$D$3=3),'ค่าบำรุงรักษา(ปี)'!N15,IF(AND($D$2&lt;1667,$D$3=4),'ค่าบำรุงรักษา(ปี)'!R15,IF(AND($D$2&lt;1667,$D$3=5),'ค่าบำรุงรักษา(ปี)'!V15,IF(AND($D$2&lt;1667,$D$3=6),'ค่าบำรุงรักษา(ปี)'!Z15,IF(AND($D$2&lt;1667,$D$3=7),'ค่าบำรุงรักษา(ปี)'!AD15,IF(AND($D$2&lt;1667,$D$3=8),'ค่าบำรุงรักษา(ปี)'!AH15,IF(AND($D$2&lt;1667,$D$3=9),'ค่าบำรุงรักษา(ปี)'!AL15,IF(AND($D$2&lt;1667,$D$3=10),'ค่าบำรุงรักษา(ปี)'!AP15,IF(AND($D$2&lt;1667,$D$3=11),'ค่าบำรุงรักษา(ปี)'!AT15,IF(AND($D$2&lt;1667,$D$3=12),'ค่าบำรุงรักษา(ปี)'!AX15,IF(AND($D$2&lt;1667,$D$3=13),'ค่าบำรุงรักษา(ปี)'!BB15,IF(AND($D$2&lt;1667,$D$3=14),'ค่าบำรุงรักษา(ปี)'!BF15,IF(AND($D$2&lt;1667,$D$3=15),'ค่าบำรุงรักษา(ปี)'!BJ15,IF(AND($D$2&lt;1667,$D$3=16),'ค่าบำรุงรักษา(ปี)'!BN15,IF(AND($D$2&lt;1667,$D$3=17),'ค่าบำรุงรักษา(ปี)'!BR15,IF(AND($D$2&lt;1667,$D$3=18),'ค่าบำรุงรักษา(ปี)'!BV15,IF(AND($D$2&lt;1667,$D$3=19),'ค่าบำรุงรักษา(ปี)'!BZ15,IF(AND($D$2&lt;1667,$D$3=20),'ค่าบำรุงรักษา(ปี)'!CD15,IF(AND($D$2&gt;=1667,$D$4&lt;30000),'ค่าบำรุงรักษา (ระยะทาง)'!G15,IF(AND($D$2&gt;=1667,$D$4&lt;40000),'ค่าบำรุงรักษา (ระยะทาง)'!I15,IF(AND($D$2&gt;=1667,$D$4&lt;50000),'ค่าบำรุงรักษา (ระยะทาง)'!K15,IF(AND($D$2&gt;=1667,$D$4&lt;60000),'ค่าบำรุงรักษา (ระยะทาง)'!M15,IF(AND($D$2&gt;=1667,$D$4&lt;70000),'ค่าบำรุงรักษา (ระยะทาง)'!O15,IF(AND($D$2&gt;=1667,$D$4&lt;80000),'ค่าบำรุงรักษา (ระยะทาง)'!Q15,IF(AND($D$2&gt;=1667,$D$4&lt;90000),'ค่าบำรุงรักษา (ระยะทาง)'!S15,IF(AND($D$2&gt;=1667,$D$4&lt;100000),'ค่าบำรุงรักษา (ระยะทาง)'!U15,IF(AND($D$2&gt;=1667,$D$4&lt;110000),'ค่าบำรุงรักษา (ระยะทาง)'!W15,IF(AND($D$2&gt;=1667,$D$4&lt;120000),'ค่าบำรุงรักษา (ระยะทาง)'!Y15,IF(AND($D$2&gt;=1667,$D$4&lt;130000),'ค่าบำรุงรักษา (ระยะทาง)'!AA15,IF(AND($D$2&gt;=1667,$D$4&lt;140000),'ค่าบำรุงรักษา (ระยะทาง)'!AC15,IF(AND($D$2&gt;=1667,$D$4&lt;150000),'ค่าบำรุงรักษา (ระยะทาง)'!AE15,IF(AND($D$2&gt;=1667,$D$4&lt;160000),'ค่าบำรุงรักษา (ระยะทาง)'!AG15,IF(AND($D$2&gt;=1667,$D$4&lt;170000),'ค่าบำรุงรักษา (ระยะทาง)'!AI15,IF(AND($D$2&gt;=1667,$D$4&lt;180000),'ค่าบำรุงรักษา (ระยะทาง)'!AK15,IF(AND($D$2&gt;=1667,$D$4&lt;190000),'ค่าบำรุงรักษา (ระยะทาง)'!AM15,IF(AND($D$2&gt;=1667,$D$4&lt;200000),'ค่าบำรุงรักษา (ระยะทาง)'!AO15,IF(AND($D$2&gt;=1667,$D$4&lt;210000),'ค่าบำรุงรักษา (ระยะทาง)'!AQ15,IF(AND($D$2&gt;=1667,$D$4&lt;220000),'ค่าบำรุงรักษา (ระยะทาง)'!AS15,IF(AND($D$2&gt;=1667,$D$4&lt;220000),'ค่าบำรุงรักษา (ระยะทาง)'!AU15,IF(AND($D$2&gt;=1667,$D$4&lt;240000),'ค่าบำรุงรักษา (ระยะทาง)'!AW15,IF(AND($D$2&gt;=1667,$D$4&lt;250000),'ค่าบำรุงรักษา (ระยะทาง)'!AY15,IF(AND($D$2&gt;=1667,$D$4&lt;260000),'ค่าบำรุงรักษา (ระยะทาง)'!BA15,IF(AND($D$2&gt;=1667,$D$4&lt;270000),'ค่าบำรุงรักษา (ระยะทาง)'!BC15,IF(AND($D$2&gt;=1667,$D$4&lt;280000),'ค่าบำรุงรักษา (ระยะทาง)'!BE15,IF(AND($D$2&gt;=1667,$D$4&lt;290000),'ค่าบำรุงรักษา (ระยะทาง)'!BG15,IF(AND($D$2&gt;=1667,$D$4&lt;300000),'ค่าบำรุงรักษา (ระยะทาง)'!BH13,IF(AND($D$2&gt;=1667,$D$4&lt;310000),'ค่าบำรุงรักษา (ระยะทาง)'!BK15,IF(AND($D$2&gt;=1667,$D$4&lt;320000),'ค่าบำรุงรักษา (ระยะทาง)'!BM15,IF(AND($D$2&gt;=1667,$D$4&lt;330000),'ค่าบำรุงรักษา (ระยะทาง)'!BO15,IF(AND($D$2&gt;=1667,$D$4&lt;340000),'ค่าบำรุงรักษา (ระยะทาง)'!BQ15,IF(AND($D$2&gt;=1667,$D$4&lt;350000),'ค่าบำรุงรักษา (ระยะทาง)'!BS15,IF(AND($D$2&gt;=1667,$D$4&lt;370000),'ค่าบำรุงรักษา (ระยะทาง)'!BW15,IF(AND($D$2&gt;=1667,$D$4&lt;380000),'ค่าบำรุงรักษา (ระยะทาง)'!BY15,IF(AND($D$2&gt;=1667,$D$4&lt;390000),'ค่าบำรุงรักษา (ระยะทาง)'!CA15,IF(AND($D$2&gt;=1667,$D$4&lt;400000),'ค่าบำรุงรักษา (ระยะทาง)'!CC15,IF(AND($D$2&gt;=1667,$D$4&lt;430000),'ค่าบำรุงรักษา (ระยะทาง)'!CE15,IF(AND($D$2&gt;=1667,$D$4&lt;430000),'ค่าบำรุงรักษา (ระยะทาง)'!CI15,IF(AND($D$2&gt;=1667,$D$4&lt;440000),'ค่าบำรุงรักษา (ระยะทาง)'!CK15,IF(AND($D$2&gt;=1667,$D$4&lt;460000),'ค่าบำรุงรักษา (ระยะทาง)'!CO15,IF(AND($D$2&gt;=1667,$D$4&lt;470000),'ค่าบำรุงรักษา (ระยะทาง)'!CQ15,IF(AND($D$2&gt;=1667,$D$4&lt;480000),'ค่าบำรุงรักษา (ระยะทาง)'!CS15,IF(AND($D$2&gt;=1667,$D$4&lt;490000),'ค่าบำรุงรักษา (ระยะทาง)'!CU15))))))))))))))))))))))))))))))))))))))))))))))))))))))))))))))))</f>
        <v>1400</v>
      </c>
      <c r="L18" s="55">
        <f t="shared" si="2"/>
        <v>13745.454545454546</v>
      </c>
      <c r="M18" s="56">
        <f t="shared" si="3"/>
        <v>747695.66454545455</v>
      </c>
    </row>
    <row r="19" spans="1:13" ht="24.6">
      <c r="A19" s="38" t="s">
        <v>121</v>
      </c>
      <c r="B19" s="54">
        <f>ค่าพลังงาน!B18</f>
        <v>5.5</v>
      </c>
      <c r="C19" s="55">
        <f>ราคาเริ่มต้น!B16</f>
        <v>699000</v>
      </c>
      <c r="D19" s="55">
        <f>IF($D$3=1,ราคาเริ่มต้น!D16,IF($D$3=2,ราคาเริ่มต้น!E16,IF($D$3=3,ราคาเริ่มต้น!F16,IF($D$3=4,ราคาเริ่มต้น!G16,IF($D$3=5,ราคาเริ่มต้น!H16,IF($D$3=6,ราคาเริ่มต้น!I16,IF($D$3=7,ราคาเริ่มต้น!J16,IF($D$3=8,ราคาเริ่มต้น!K16,IF($D$3=9,ราคาเริ่มต้น!L16,IF($D$3=10,ราคาเริ่มต้น!M16,IF($D$3=11,ราคาเริ่มต้น!N16,IF($D$3=12,ราคาเริ่มต้น!O16,IF($D$3=13,ราคาเริ่มต้น!P16,IF($D$3=14,ราคาเริ่มต้น!Q16,IF($D$3=15,ราคาเริ่มต้น!R16,IF($D$3=16,ราคาเริ่มต้น!S16,IF($D$3=17,ราคาเริ่มต้น!T16,IF($D$3=18,ราคาเริ่มต้น!U16,IF($D$3=19,ราคาเริ่มต้น!V16,IF($D$3=20,ราคาเริ่มต้น!W16))))))))))))))))))))</f>
        <v>559200</v>
      </c>
      <c r="E19" s="55">
        <f>IF($D$3=1,ภาษีประจำปี!C16,IF($D$3=2,ภาษีประจำปี!E16,IF($D$3=3,ภาษีประจำปี!F16,IF($D$3=4,ภาษีประจำปี!I16,IF($D$3=5,ภาษีประจำปี!K16,IF($D$3=6,ภาษีประจำปี!M16,IF($D$3=7,ภาษีประจำปี!O16,IF($D$3=8,ภาษีประจำปี!Q16,IF($D$3=9,ภาษีประจำปี!S16,IF($D$3=10,ภาษีประจำปี!U16,IF($D$3=11,ภาษีประจำปี!W16,IF($D$3=12,ภาษีประจำปี!Y16,IF($D$3=13,ภาษีประจำปี!AA16,IF($D$3=14,ภาษีประจำปี!AC16,IF($D$3=15,ภาษีประจำปี!AE16,IF($D$3=16,ภาษีประจำปี!AG16,IF($D$3=17,ภาษีประจำปี!AI16,IF($D$3=18,ภาษีประจำปี!AK16,IF($D$3=19,ภาษีประจำปี!AM16,IF($D$3=20,ภาษีประจำปี!AO16))))))))))))))))))))</f>
        <v>260</v>
      </c>
      <c r="F19" s="55">
        <f>IF($D$3=1,ประกันภัยบังคับ!B16,IF($D$3=2,ประกันภัยบังคับ!C16,IF($D$3=3,ประกันภัยบังคับ!D16,IF($D$3=4,ประกันภัยบังคับ!E16,IF($D$3=5,ประกันภัยบังคับ!F16,IF($D$3=6,ประกันภัยบังคับ!G16,IF($D$3=7,ประกันภัยบังคับ!H16,IF($D$3=8,ประกันภัยบังคับ!I16,IF($D$3=9,ประกันภัยบังคับ!J16,IF($D$3=10,ประกันภัยบังคับ!K16,IF($D$3=11,ประกันภัยบังคับ!L16,IF($D$3=12,ประกันภัยบังคับ!M16,IF($D$3=13,ประกันภัยบังคับ!N16,IF($D$3=14,ประกันภัยบังคับ!O16,IF($D$3=15,ประกันภัยบังคับ!P16,IF($D$3=16,ประกันภัยบังคับ!Q16,IF($D$3=17,ประกันภัยบังคับ!R16,IF($D$3=18,ประกันภัยบังคับ!S16,IF($D$3=19,ประกันภัยบังคับ!T16,IF($D$3=20,ประกันภัยบังคับ!U16))))))))))))))))))))</f>
        <v>645.21</v>
      </c>
      <c r="G19" s="55">
        <f>IF($D$3=1,ประกันภัยชั้น1!C16,IF($D$3=2,ประกันภัยชั้น1!E16,IF($D$3=3,ประกันภัยชั้น1!G16,IF($D$3=4,ประกันภัยชั้น1!I16,IF($D$3=5,ประกันภัยชั้น1!K16,IF($D$3=6,ประกันภัยชั้น1!M16,IF($D$3=7,ประกันภัยชั้น1!O16,IF($D$3=8,ประกันภัยชั้น1!Q16,IF($D$3=9,ประกันภัยชั้น1!S16,IF($D$3=10,ประกันภัยชั้น1!U16,IF($D$3=11,ประกันภัยชั้น1!W16,IF($D$3=12,ประกันภัยชั้น1!Y16,IF($D$3=13,ประกันภัยชั้น1!AA16,IF($D$3=14,ประกันภัยชั้น1!AC16,IF($D$3=15,ประกันภัยชั้น1!AE16,IF($D$3=16,ประกันภัยชั้น1!AG16,IF($D$3=17,ประกันภัยชั้น1!AI16,IF($D$3=18,ประกันภัยชั้น1!AK16,IF($D$3=19,ประกันภัยชั้น1!AM16,IF($D$3=20,ประกันภัยชั้น1!AO16))))))))))))))))))))</f>
        <v>32645</v>
      </c>
      <c r="H19" s="55">
        <f>IF(AND($D$2&lt;1667,$D$3=1),'ยางรถ (ปี)'!B18,IF(AND($D$2&lt;1667,$D$3=2),'ยางรถ (ปี)'!C18,IF(AND($D$2&lt;1667,$D$3=3),'ยางรถ (ปี)'!C18,IF(AND($D$2&lt;1667,$D$3=4),'ยางรถ (ปี)'!E18,IF(AND($D$2&lt;1667,$D$3=5),'ยางรถ (ปี)'!E18,IF(AND($D$2&lt;1667,$D$3=6),'ยางรถ (ปี)'!G18,IF(AND($D$2&lt;1667,$D$3=7),'ยางรถ (ปี)'!G18,IF(AND($D$2&lt;1667,$D$3=8),'ยางรถ (ปี)'!I18,IF(AND($D$2&lt;1667,$D$3=9),'ยางรถ (ปี)'!I18,IF(AND($D$2&lt;1667,$D$3=10),'ยางรถ (ปี)'!K18,IF(AND($D$2&lt;1667,$D$3=11),'ยางรถ (ปี)'!K18,IF(AND($D$2&lt;1667,$D$3=12),'ยางรถ (ปี)'!M18,IF(AND($D$2&lt;1667,$D$3=13),'ยางรถ (ปี)'!M18,IF(AND($D$2&lt;1667,$D$3=14),'ยางรถ (ปี)'!O18,IF(AND($D$2&lt;1667,$D$3=15),'ยางรถ (ปี)'!O18,IF(AND($D$2&lt;1667,$D$3=16),'ยางรถ (ปี)'!Q18,IF(AND($D$2&lt;1667,$D$3=17),'ยางรถ (ปี)'!Q18,IF(AND($D$2&lt;1667,$D$3=18),'ยางรถ (ปี)'!S18,IF(AND($D$2&lt;1667,$D$3=19),'ยางรถ (ปี)'!S18,IF(AND($D$2&lt;1667,$D$3=20),'ยางรถ (ปี)'!U18,IF(AND($D$2&lt;1667,$D$3=21),'ยางรถ (ปี)'!V18,IF(AND($D$2&gt;=1667,$D$4&lt;40000),0,IF(AND($D$2&gt;=1667, $D$4&lt;80000),'ยางรถ(ระยะทาง)'!F16,IF(AND($D$2&gt;=1667, $D$4&lt;120000),'ยางรถ(ระยะทาง)'!L16,IF(AND($D$2&gt;=1667, $D$4&lt;160000),'ยางรถ(ระยะทาง)'!R16,IF(AND($D$2&gt;=1667, $D$4&lt;200000),'ยางรถ(ระยะทาง)'!X16,IF(AND($D$2&gt;=1667, $D$4&lt;240000),'ยางรถ(ระยะทาง)'!Y16,IF(AND($D$2&gt;=1667, $D$4&lt;280000),'ยางรถ(ระยะทาง)'!AE16,IF(AND($D$2&gt;=1667, $D$4&lt;320000),'ยางรถ(ระยะทาง)'!AK16,IF(AND($D$2&gt;=1667, $D$4&lt;360000),'ยางรถ(ระยะทาง)'!AQ16,IF(AND($D$2&gt;=1667, $D$4&lt;400000),'ยางรถ(ระยะทาง)'!AW16,IF(AND($D$2&gt;=1667, $D$4&lt;440000),'ยางรถ(ระยะทาง)'!AX16,IF(AND($D$2&gt;=1667, $D$4&lt;480000),'ยางรถ(ระยะทาง)'!BC16,IF(AND($D$2&gt;=1667, $D$4&lt;520000),'ยางรถ(ระยะทาง)'!BI16,IF(AND($D$2&gt;=1667, $D$4&lt;560000),'ยางรถ(ระยะทาง)'!BK16,IF(AND($D$2&gt;=1667, $D$4&lt;600000),'ยางรถ(ระยะทาง)'!BM16,IF(AND($D$2&gt;=1667, $D$4&lt;640000),'ยางรถ(ระยะทาง)'!BN16,IF(AND($D$2&gt;=1667, $D$4&lt;680000),'ยางรถ(ระยะทาง)'!BO16,IF(AND($D$2&gt;=1667, $D$4&lt;720000),'ยางรถ(ระยะทาง)'!BQ16,IF(AND($D$2&gt;=1667, $D$4&lt;760000),'ยางรถ(ระยะทาง)'!BS16,IF(AND($D$2&gt;=1667, $D$4&lt;800000),'ยางรถ(ระยะทาง)'!BU16)))))))))))))))))))))))))))))))))))))))))</f>
        <v>0</v>
      </c>
      <c r="I19" s="55">
        <f>IF(AND($D$2&lt;1667,$D$3=1),'แบตเตอร์รี่ (ปี)'!B16,IF(AND($D$2&lt;1667,$D$3=2),'แบตเตอร์รี่ (ปี)'!C16,IF(AND($D$2&lt;1667,$D$3=3),'แบตเตอร์รี่ (ปี)'!C16,IF(AND($D$2&lt;1667,$D$3=4),'แบตเตอร์รี่ (ปี)'!E16,IF(AND($D$2&lt;1667,$D$3=5),'แบตเตอร์รี่ (ปี)'!E16,IF(AND($D$2&lt;1667,$D$3=6),'แบตเตอร์รี่ (ปี)'!G16,IF(AND($D$2&lt;1667,$D$3=7),'แบตเตอร์รี่ (ปี)'!G16,IF(AND($D$2&lt;1667,$D$3=8),'แบตเตอร์รี่ (ปี)'!I16,IF(AND($D$2&lt;1667,$D$3=9),'แบตเตอร์รี่ (ปี)'!I16,IF(AND($D$2&lt;1667,$D$3=10),'แบตเตอร์รี่ (ปี)'!K16,IF(AND($D$2&lt;1667,$D$3=11),'แบตเตอร์รี่ (ปี)'!K16,IF(AND($D$2&lt;1667,$D$3=12),'แบตเตอร์รี่ (ปี)'!M16,IF(AND($D$2&lt;1667,$D$3=13),'แบตเตอร์รี่ (ปี)'!M16,IF(AND($D$2&lt;1667,$D$3=14),'แบตเตอร์รี่ (ปี)'!O16,IF(AND($D$2&lt;1667,$D$3=15),'แบตเตอร์รี่ (ปี)'!O16,IF(AND($D$2&lt;1667,$D$3=16),'แบตเตอร์รี่ (ปี)'!Q16,IF(AND($D$2&lt;1667,$D$3=17),'แบตเตอร์รี่ (ปี)'!Q16,IF(AND($D$2&lt;1667,$D$3=18),'แบตเตอร์รี่ (ปี)'!S16,IF(AND($D$2&lt;1667,$D$3=19),'แบตเตอร์รี่ (ปี)'!S16,IF(AND($D$2&lt;1667,$D$3=20),'แบตเตอร์รี่ (ปี)'!U16,IF(AND($D$2&gt;=1667,$D$4&lt;40000),0,IF(AND($D$2&gt;=1667,$D$4&lt;80000),'แบตเตอรี(ระยะทาง) '!E16,IF(AND($D$2&gt;=1667,$D$4&lt;120000),'แบตเตอรี(ระยะทาง) '!I16,IF(AND($D$2&gt;=1667,$D$4&lt;160000),'แบตเตอรี(ระยะทาง) '!M16,IF(AND($D$2&gt;=1667,$D$4&lt;200000),'แบตเตอรี(ระยะทาง) '!Q16,IF(AND($D$2&gt;=1667,$D$4&lt;240000),'แบตเตอรี(ระยะทาง) '!E16,IF(AND($D$2&gt;=1667,$D$4&lt;280000),'แบตเตอรี(ระยะทาง) '!Y16,IF(AND($D$2&gt;=1667,$D$4&lt;320000),'แบตเตอรี(ระยะทาง) '!AC16,IF(AND($D$2&gt;=1667,$D$4&lt;360000),'แบตเตอรี(ระยะทาง) '!AG16,IF(AND($D$2&gt;=1667,$D$4&lt;400000),'แบตเตอรี(ระยะทาง) '!AK16,IF(AND($D$2&gt;=1667,$D$4&lt;440000),'แบตเตอรี(ระยะทาง) '!AO16,IF(AND($D$2&gt;=1667,$D$4&lt;480000),'แบตเตอรี(ระยะทาง) '!AS16,IF(AND($D$2&gt;=1667,$D$4&lt;50000),'แบตเตอรี(ระยะทาง) '!AW16,)))))))))))))))))))))))))))))))))</f>
        <v>0</v>
      </c>
      <c r="J19" s="55">
        <f>IF(AND($D$2&lt;1667,$D$3=1),'แบตเตอรีไฟฟ้า (ปี)'!B16,IF(AND($D$2&lt;1667,$D$3=2),'แบตเตอรีไฟฟ้า (ปี)'!C16,IF(AND($D$2&lt;1667,$D$3=3),'แบตเตอรีไฟฟ้า (ปี)'!D16,IF(AND($D$2&lt;1667,$D$3=4),'แบตเตอรีไฟฟ้า (ปี)'!E16,IF(AND($D$2&lt;1667,$D$3=5),'แบตเตอรีไฟฟ้า (ปี)'!F16,IF(AND($D$2&lt;1667,$D$3=6),'แบตเตอรีไฟฟ้า (ปี)'!G16,IF(AND($D$2&lt;1667,$D$3=7),'แบตเตอรีไฟฟ้า (ปี)'!H16,IF(AND($D$2&lt;1667,$D$3=8),'แบตเตอรีไฟฟ้า (ปี)'!I16,IF(AND($D$2&lt;1667,$D$3=9),'แบตเตอรีไฟฟ้า (ปี)'!I16,IF(AND($D$2&lt;1667,$D$3=10),'แบตเตอรีไฟฟ้า (ปี)'!K16,IF(AND($D$2&lt;1667,$D$3=11),'แบตเตอรีไฟฟ้า (ปี)'!I16,IF(AND($D$2&lt;1667,$D$3=12),'แบตเตอรีไฟฟ้า (ปี)'!I16,IF(AND($D$2&lt;1667,$D$3=13),'แบตเตอรีไฟฟ้า (ปี)'!I16,IF(AND($D$2&lt;1667,$D$3=14),'แบตเตอรีไฟฟ้า (ปี)'!I16,IF(AND($D$2&lt;1667,$D$3=15),'แบตเตอรีไฟฟ้า (ปี)'!I16,IF(AND($D$2&lt;1667,$D$3=16),'แบตเตอรีไฟฟ้า (ปี)'!Q16,IF(AND($D$2&lt;1667,$D$3=17),'แบตเตอรีไฟฟ้า (ปี)'!Q16,IF(AND($D$2&lt;1667,$D$3=18),'แบตเตอรีไฟฟ้า (ปี)'!Q16,IF(AND($D$2&lt;1667,$D$3=19),'แบตเตอรีไฟฟ้า (ปี)'!Q16,IF(AND($D$2&lt;1667,$D$3=20),'แบตเตอรีไฟฟ้า (ปี)'!Q16,IF(AND($D$2&gt;=1667,$D$4&lt;170000),0,IF(AND($D$2&gt;=1667,$D$4&lt;340000),'แบตเตอรีรถไฟฟ้า(ระยะทาง)'!R16,IF(AND($D$2&gt;=1667,$D$4&lt;510000),'แบตเตอรีรถไฟฟ้า(ระยะทาง)'!AI16,)))))))))))))))))))))))</f>
        <v>0</v>
      </c>
      <c r="K19" s="55">
        <f>IF(AND($D$2&lt;1667,$D$3=1),'ค่าบำรุงรักษา(ปี)'!F16,IF(AND($D$2&lt;1667,$D$3=2),'ค่าบำรุงรักษา(ปี)'!J16,IF(AND($D$2&lt;1667,$D$3=3),'ค่าบำรุงรักษา(ปี)'!N16,IF(AND($D$2&lt;1667,$D$3=4),'ค่าบำรุงรักษา(ปี)'!R16,IF(AND($D$2&lt;1667,$D$3=5),'ค่าบำรุงรักษา(ปี)'!V16,IF(AND($D$2&lt;1667,$D$3=6),'ค่าบำรุงรักษา(ปี)'!Z16,IF(AND($D$2&lt;1667,$D$3=7),'ค่าบำรุงรักษา(ปี)'!AD16,IF(AND($D$2&lt;1667,$D$3=8),'ค่าบำรุงรักษา(ปี)'!AH16,IF(AND($D$2&lt;1667,$D$3=9),'ค่าบำรุงรักษา(ปี)'!AL16,IF(AND($D$2&lt;1667,$D$3=10),'ค่าบำรุงรักษา(ปี)'!AP16,IF(AND($D$2&lt;1667,$D$3=11),'ค่าบำรุงรักษา(ปี)'!AT16,IF(AND($D$2&lt;1667,$D$3=12),'ค่าบำรุงรักษา(ปี)'!AX16,IF(AND($D$2&lt;1667,$D$3=13),'ค่าบำรุงรักษา(ปี)'!BB16,IF(AND($D$2&lt;1667,$D$3=14),'ค่าบำรุงรักษา(ปี)'!BF16,IF(AND($D$2&lt;1667,$D$3=15),'ค่าบำรุงรักษา(ปี)'!BJ16,IF(AND($D$2&lt;1667,$D$3=16),'ค่าบำรุงรักษา(ปี)'!BN16,IF(AND($D$2&lt;1667,$D$3=17),'ค่าบำรุงรักษา(ปี)'!BR16,IF(AND($D$2&lt;1667,$D$3=18),'ค่าบำรุงรักษา(ปี)'!BV16,IF(AND($D$2&lt;1667,$D$3=19),'ค่าบำรุงรักษา(ปี)'!BZ16,IF(AND($D$2&lt;1667,$D$3=20),'ค่าบำรุงรักษา(ปี)'!CD16,IF(AND($D$2&gt;=1667,$D$4&lt;30000),'ค่าบำรุงรักษา (ระยะทาง)'!G16,IF(AND($D$2&gt;=1667,$D$4&lt;40000),'ค่าบำรุงรักษา (ระยะทาง)'!I16,IF(AND($D$2&gt;=1667,$D$4&lt;50000),'ค่าบำรุงรักษา (ระยะทาง)'!K16,IF(AND($D$2&gt;=1667,$D$4&lt;60000),'ค่าบำรุงรักษา (ระยะทาง)'!M16,IF(AND($D$2&gt;=1667,$D$4&lt;70000),'ค่าบำรุงรักษา (ระยะทาง)'!O16,IF(AND($D$2&gt;=1667,$D$4&lt;80000),'ค่าบำรุงรักษา (ระยะทาง)'!Q16,IF(AND($D$2&gt;=1667,$D$4&lt;90000),'ค่าบำรุงรักษา (ระยะทาง)'!S16,IF(AND($D$2&gt;=1667,$D$4&lt;100000),'ค่าบำรุงรักษา (ระยะทาง)'!U16,IF(AND($D$2&gt;=1667,$D$4&lt;110000),'ค่าบำรุงรักษา (ระยะทาง)'!W16,IF(AND($D$2&gt;=1667,$D$4&lt;120000),'ค่าบำรุงรักษา (ระยะทาง)'!Y16,IF(AND($D$2&gt;=1667,$D$4&lt;130000),'ค่าบำรุงรักษา (ระยะทาง)'!AA16,IF(AND($D$2&gt;=1667,$D$4&lt;140000),'ค่าบำรุงรักษา (ระยะทาง)'!AC16,IF(AND($D$2&gt;=1667,$D$4&lt;150000),'ค่าบำรุงรักษา (ระยะทาง)'!AE16,IF(AND($D$2&gt;=1667,$D$4&lt;160000),'ค่าบำรุงรักษา (ระยะทาง)'!AG16,IF(AND($D$2&gt;=1667,$D$4&lt;170000),'ค่าบำรุงรักษา (ระยะทาง)'!AI16,IF(AND($D$2&gt;=1667,$D$4&lt;180000),'ค่าบำรุงรักษา (ระยะทาง)'!AK16,IF(AND($D$2&gt;=1667,$D$4&lt;190000),'ค่าบำรุงรักษา (ระยะทาง)'!AM16,IF(AND($D$2&gt;=1667,$D$4&lt;200000),'ค่าบำรุงรักษา (ระยะทาง)'!AO16,IF(AND($D$2&gt;=1667,$D$4&lt;210000),'ค่าบำรุงรักษา (ระยะทาง)'!AQ16,IF(AND($D$2&gt;=1667,$D$4&lt;220000),'ค่าบำรุงรักษา (ระยะทาง)'!AS16,IF(AND($D$2&gt;=1667,$D$4&lt;220000),'ค่าบำรุงรักษา (ระยะทาง)'!AU16,IF(AND($D$2&gt;=1667,$D$4&lt;240000),'ค่าบำรุงรักษา (ระยะทาง)'!AW16,IF(AND($D$2&gt;=1667,$D$4&lt;250000),'ค่าบำรุงรักษา (ระยะทาง)'!AY16,IF(AND($D$2&gt;=1667,$D$4&lt;260000),'ค่าบำรุงรักษา (ระยะทาง)'!BA16,IF(AND($D$2&gt;=1667,$D$4&lt;270000),'ค่าบำรุงรักษา (ระยะทาง)'!BC16,IF(AND($D$2&gt;=1667,$D$4&lt;280000),'ค่าบำรุงรักษา (ระยะทาง)'!BE16,IF(AND($D$2&gt;=1667,$D$4&lt;290000),'ค่าบำรุงรักษา (ระยะทาง)'!BG16,IF(AND($D$2&gt;=1667,$D$4&lt;300000),'ค่าบำรุงรักษา (ระยะทาง)'!BH14,IF(AND($D$2&gt;=1667,$D$4&lt;310000),'ค่าบำรุงรักษา (ระยะทาง)'!BK16,IF(AND($D$2&gt;=1667,$D$4&lt;320000),'ค่าบำรุงรักษา (ระยะทาง)'!BM16,IF(AND($D$2&gt;=1667,$D$4&lt;330000),'ค่าบำรุงรักษา (ระยะทาง)'!BO16,IF(AND($D$2&gt;=1667,$D$4&lt;340000),'ค่าบำรุงรักษา (ระยะทาง)'!BQ16,IF(AND($D$2&gt;=1667,$D$4&lt;350000),'ค่าบำรุงรักษา (ระยะทาง)'!BS16,IF(AND($D$2&gt;=1667,$D$4&lt;370000),'ค่าบำรุงรักษา (ระยะทาง)'!BW16,IF(AND($D$2&gt;=1667,$D$4&lt;380000),'ค่าบำรุงรักษา (ระยะทาง)'!BY16,IF(AND($D$2&gt;=1667,$D$4&lt;390000),'ค่าบำรุงรักษา (ระยะทาง)'!CA16,IF(AND($D$2&gt;=1667,$D$4&lt;400000),'ค่าบำรุงรักษา (ระยะทาง)'!CC16,IF(AND($D$2&gt;=1667,$D$4&lt;430000),'ค่าบำรุงรักษา (ระยะทาง)'!CE16,IF(AND($D$2&gt;=1667,$D$4&lt;430000),'ค่าบำรุงรักษา (ระยะทาง)'!CI16,IF(AND($D$2&gt;=1667,$D$4&lt;440000),'ค่าบำรุงรักษา (ระยะทาง)'!CK16,IF(AND($D$2&gt;=1667,$D$4&lt;460000),'ค่าบำรุงรักษา (ระยะทาง)'!CO16,IF(AND($D$2&gt;=1667,$D$4&lt;470000),'ค่าบำรุงรักษา (ระยะทาง)'!CQ16,IF(AND($D$2&gt;=1667,$D$4&lt;480000),'ค่าบำรุงรักษา (ระยะทาง)'!CS16,IF(AND($D$2&gt;=1667,$D$4&lt;490000),'ค่าบำรุงรักษา (ระยะทาง)'!CU16))))))))))))))))))))))))))))))))))))))))))))))))))))))))))))))))</f>
        <v>1400</v>
      </c>
      <c r="L19" s="55">
        <f t="shared" si="2"/>
        <v>13745.454545454546</v>
      </c>
      <c r="M19" s="56">
        <f t="shared" si="3"/>
        <v>747695.66454545455</v>
      </c>
    </row>
    <row r="20" spans="1:13" ht="24.6">
      <c r="A20" s="38" t="s">
        <v>118</v>
      </c>
      <c r="B20" s="54">
        <f>ค่าพลังงาน!B19</f>
        <v>5.6</v>
      </c>
      <c r="C20" s="55">
        <f>ราคาเริ่มต้น!B17</f>
        <v>799000</v>
      </c>
      <c r="D20" s="55">
        <f>IF($D$3=1,ราคาเริ่มต้น!D17,IF($D$3=2,ราคาเริ่มต้น!E17,IF($D$3=3,ราคาเริ่มต้น!F17,IF($D$3=4,ราคาเริ่มต้น!G17,IF($D$3=5,ราคาเริ่มต้น!H17,IF($D$3=6,ราคาเริ่มต้น!I17,IF($D$3=7,ราคาเริ่มต้น!J17,IF($D$3=8,ราคาเริ่มต้น!K17,IF($D$3=9,ราคาเริ่มต้น!L17,IF($D$3=10,ราคาเริ่มต้น!M17,IF($D$3=11,ราคาเริ่มต้น!N17,IF($D$3=12,ราคาเริ่มต้น!O17,IF($D$3=13,ราคาเริ่มต้น!P17,IF($D$3=14,ราคาเริ่มต้น!Q17,IF($D$3=15,ราคาเริ่มต้น!R17,IF($D$3=16,ราคาเริ่มต้น!S17,IF($D$3=17,ราคาเริ่มต้น!T17,IF($D$3=18,ราคาเริ่มต้น!U17,IF($D$3=19,ราคาเริ่มต้น!V17,IF($D$3=20,ราคาเริ่มต้น!W17))))))))))))))))))))</f>
        <v>639200</v>
      </c>
      <c r="E20" s="55">
        <f>IF($D$3=1,ภาษีประจำปี!C17,IF($D$3=2,ภาษีประจำปี!E17,IF($D$3=3,ภาษีประจำปี!F17,IF($D$3=4,ภาษีประจำปี!I17,IF($D$3=5,ภาษีประจำปี!K17,IF($D$3=6,ภาษีประจำปี!M17,IF($D$3=7,ภาษีประจำปี!O17,IF($D$3=8,ภาษีประจำปี!Q17,IF($D$3=9,ภาษีประจำปี!S17,IF($D$3=10,ภาษีประจำปี!U17,IF($D$3=11,ภาษีประจำปี!W17,IF($D$3=12,ภาษีประจำปี!Y17,IF($D$3=13,ภาษีประจำปี!AA17,IF($D$3=14,ภาษีประจำปี!AC17,IF($D$3=15,ภาษีประจำปี!AE17,IF($D$3=16,ภาษีประจำปี!AG17,IF($D$3=17,ภาษีประจำปี!AI17,IF($D$3=18,ภาษีประจำปี!AK17,IF($D$3=19,ภาษีประจำปี!AM17,IF($D$3=20,ภาษีประจำปี!AO17))))))))))))))))))))</f>
        <v>260</v>
      </c>
      <c r="F20" s="55">
        <f>IF($D$3=1,ประกันภัยบังคับ!B17,IF($D$3=2,ประกันภัยบังคับ!C17,IF($D$3=3,ประกันภัยบังคับ!D17,IF($D$3=4,ประกันภัยบังคับ!E17,IF($D$3=5,ประกันภัยบังคับ!F17,IF($D$3=6,ประกันภัยบังคับ!G17,IF($D$3=7,ประกันภัยบังคับ!H17,IF($D$3=8,ประกันภัยบังคับ!I17,IF($D$3=9,ประกันภัยบังคับ!J17,IF($D$3=10,ประกันภัยบังคับ!K17,IF($D$3=11,ประกันภัยบังคับ!L17,IF($D$3=12,ประกันภัยบังคับ!M17,IF($D$3=13,ประกันภัยบังคับ!N17,IF($D$3=14,ประกันภัยบังคับ!O17,IF($D$3=15,ประกันภัยบังคับ!P17,IF($D$3=16,ประกันภัยบังคับ!Q17,IF($D$3=17,ประกันภัยบังคับ!R17,IF($D$3=18,ประกันภัยบังคับ!S17,IF($D$3=19,ประกันภัยบังคับ!T17,IF($D$3=20,ประกันภัยบังคับ!U17))))))))))))))))))))</f>
        <v>645.21</v>
      </c>
      <c r="G20" s="55">
        <f>IF($D$3=1,ประกันภัยชั้น1!C17,IF($D$3=2,ประกันภัยชั้น1!E17,IF($D$3=3,ประกันภัยชั้น1!G17,IF($D$3=4,ประกันภัยชั้น1!I17,IF($D$3=5,ประกันภัยชั้น1!K17,IF($D$3=6,ประกันภัยชั้น1!M17,IF($D$3=7,ประกันภัยชั้น1!O17,IF($D$3=8,ประกันภัยชั้น1!Q17,IF($D$3=9,ประกันภัยชั้น1!S17,IF($D$3=10,ประกันภัยชั้น1!U17,IF($D$3=11,ประกันภัยชั้น1!W17,IF($D$3=12,ประกันภัยชั้น1!Y17,IF($D$3=13,ประกันภัยชั้น1!AA17,IF($D$3=14,ประกันภัยชั้น1!AC17,IF($D$3=15,ประกันภัยชั้น1!AE17,IF($D$3=16,ประกันภัยชั้น1!AG17,IF($D$3=17,ประกันภัยชั้น1!AI17,IF($D$3=18,ประกันภัยชั้น1!AK17,IF($D$3=19,ประกันภัยชั้น1!AM17,IF($D$3=20,ประกันภัยชั้น1!AO17))))))))))))))))))))</f>
        <v>32281</v>
      </c>
      <c r="H20" s="55">
        <f>IF(AND($D$2&lt;1667,$D$3=1),'ยางรถ (ปี)'!B19,IF(AND($D$2&lt;1667,$D$3=2),'ยางรถ (ปี)'!C19,IF(AND($D$2&lt;1667,$D$3=3),'ยางรถ (ปี)'!C19,IF(AND($D$2&lt;1667,$D$3=4),'ยางรถ (ปี)'!E19,IF(AND($D$2&lt;1667,$D$3=5),'ยางรถ (ปี)'!E19,IF(AND($D$2&lt;1667,$D$3=6),'ยางรถ (ปี)'!G19,IF(AND($D$2&lt;1667,$D$3=7),'ยางรถ (ปี)'!G19,IF(AND($D$2&lt;1667,$D$3=8),'ยางรถ (ปี)'!I19,IF(AND($D$2&lt;1667,$D$3=9),'ยางรถ (ปี)'!I19,IF(AND($D$2&lt;1667,$D$3=10),'ยางรถ (ปี)'!K19,IF(AND($D$2&lt;1667,$D$3=11),'ยางรถ (ปี)'!K19,IF(AND($D$2&lt;1667,$D$3=12),'ยางรถ (ปี)'!M19,IF(AND($D$2&lt;1667,$D$3=13),'ยางรถ (ปี)'!M19,IF(AND($D$2&lt;1667,$D$3=14),'ยางรถ (ปี)'!O19,IF(AND($D$2&lt;1667,$D$3=15),'ยางรถ (ปี)'!O19,IF(AND($D$2&lt;1667,$D$3=16),'ยางรถ (ปี)'!Q19,IF(AND($D$2&lt;1667,$D$3=17),'ยางรถ (ปี)'!Q19,IF(AND($D$2&lt;1667,$D$3=18),'ยางรถ (ปี)'!S19,IF(AND($D$2&lt;1667,$D$3=19),'ยางรถ (ปี)'!S19,IF(AND($D$2&lt;1667,$D$3=20),'ยางรถ (ปี)'!U19,IF(AND($D$2&lt;1667,$D$3=21),'ยางรถ (ปี)'!V19,IF(AND($D$2&gt;=1667,$D$4&lt;40000),0,IF(AND($D$2&gt;=1667, $D$4&lt;80000),'ยางรถ(ระยะทาง)'!F17,IF(AND($D$2&gt;=1667, $D$4&lt;120000),'ยางรถ(ระยะทาง)'!L17,IF(AND($D$2&gt;=1667, $D$4&lt;160000),'ยางรถ(ระยะทาง)'!R17,IF(AND($D$2&gt;=1667, $D$4&lt;200000),'ยางรถ(ระยะทาง)'!X17,IF(AND($D$2&gt;=1667, $D$4&lt;240000),'ยางรถ(ระยะทาง)'!Y17,IF(AND($D$2&gt;=1667, $D$4&lt;280000),'ยางรถ(ระยะทาง)'!AE17,IF(AND($D$2&gt;=1667, $D$4&lt;320000),'ยางรถ(ระยะทาง)'!AK17,IF(AND($D$2&gt;=1667, $D$4&lt;360000),'ยางรถ(ระยะทาง)'!AQ17,IF(AND($D$2&gt;=1667, $D$4&lt;400000),'ยางรถ(ระยะทาง)'!AW17,IF(AND($D$2&gt;=1667, $D$4&lt;440000),'ยางรถ(ระยะทาง)'!AX17,IF(AND($D$2&gt;=1667, $D$4&lt;480000),'ยางรถ(ระยะทาง)'!BC17,IF(AND($D$2&gt;=1667, $D$4&lt;520000),'ยางรถ(ระยะทาง)'!BI17,IF(AND($D$2&gt;=1667, $D$4&lt;560000),'ยางรถ(ระยะทาง)'!BK17,IF(AND($D$2&gt;=1667, $D$4&lt;600000),'ยางรถ(ระยะทาง)'!BM17,IF(AND($D$2&gt;=1667, $D$4&lt;640000),'ยางรถ(ระยะทาง)'!BN17,IF(AND($D$2&gt;=1667, $D$4&lt;680000),'ยางรถ(ระยะทาง)'!BO17,IF(AND($D$2&gt;=1667, $D$4&lt;720000),'ยางรถ(ระยะทาง)'!BQ17,IF(AND($D$2&gt;=1667, $D$4&lt;760000),'ยางรถ(ระยะทาง)'!BS17,IF(AND($D$2&gt;=1667, $D$4&lt;800000),'ยางรถ(ระยะทาง)'!BU17)))))))))))))))))))))))))))))))))))))))))</f>
        <v>0</v>
      </c>
      <c r="I20" s="55">
        <f>IF(AND($D$2&lt;1667,$D$3=1),'แบตเตอร์รี่ (ปี)'!B17,IF(AND($D$2&lt;1667,$D$3=2),'แบตเตอร์รี่ (ปี)'!C17,IF(AND($D$2&lt;1667,$D$3=3),'แบตเตอร์รี่ (ปี)'!C17,IF(AND($D$2&lt;1667,$D$3=4),'แบตเตอร์รี่ (ปี)'!E17,IF(AND($D$2&lt;1667,$D$3=5),'แบตเตอร์รี่ (ปี)'!E17,IF(AND($D$2&lt;1667,$D$3=6),'แบตเตอร์รี่ (ปี)'!G17,IF(AND($D$2&lt;1667,$D$3=7),'แบตเตอร์รี่ (ปี)'!G17,IF(AND($D$2&lt;1667,$D$3=8),'แบตเตอร์รี่ (ปี)'!I17,IF(AND($D$2&lt;1667,$D$3=9),'แบตเตอร์รี่ (ปี)'!I17,IF(AND($D$2&lt;1667,$D$3=10),'แบตเตอร์รี่ (ปี)'!K17,IF(AND($D$2&lt;1667,$D$3=11),'แบตเตอร์รี่ (ปี)'!K17,IF(AND($D$2&lt;1667,$D$3=12),'แบตเตอร์รี่ (ปี)'!M17,IF(AND($D$2&lt;1667,$D$3=13),'แบตเตอร์รี่ (ปี)'!M17,IF(AND($D$2&lt;1667,$D$3=14),'แบตเตอร์รี่ (ปี)'!O17,IF(AND($D$2&lt;1667,$D$3=15),'แบตเตอร์รี่ (ปี)'!O17,IF(AND($D$2&lt;1667,$D$3=16),'แบตเตอร์รี่ (ปี)'!Q17,IF(AND($D$2&lt;1667,$D$3=17),'แบตเตอร์รี่ (ปี)'!Q17,IF(AND($D$2&lt;1667,$D$3=18),'แบตเตอร์รี่ (ปี)'!S17,IF(AND($D$2&lt;1667,$D$3=19),'แบตเตอร์รี่ (ปี)'!S17,IF(AND($D$2&lt;1667,$D$3=20),'แบตเตอร์รี่ (ปี)'!U17,IF(AND($D$2&gt;=1667,$D$4&lt;40000),0,IF(AND($D$2&gt;=1667,$D$4&lt;80000),'แบตเตอรี(ระยะทาง) '!E17,IF(AND($D$2&gt;=1667,$D$4&lt;120000),'แบตเตอรี(ระยะทาง) '!I17,IF(AND($D$2&gt;=1667,$D$4&lt;160000),'แบตเตอรี(ระยะทาง) '!M17,IF(AND($D$2&gt;=1667,$D$4&lt;200000),'แบตเตอรี(ระยะทาง) '!Q17,IF(AND($D$2&gt;=1667,$D$4&lt;240000),'แบตเตอรี(ระยะทาง) '!E17,IF(AND($D$2&gt;=1667,$D$4&lt;280000),'แบตเตอรี(ระยะทาง) '!Y17,IF(AND($D$2&gt;=1667,$D$4&lt;320000),'แบตเตอรี(ระยะทาง) '!AC17,IF(AND($D$2&gt;=1667,$D$4&lt;360000),'แบตเตอรี(ระยะทาง) '!AG17,IF(AND($D$2&gt;=1667,$D$4&lt;400000),'แบตเตอรี(ระยะทาง) '!AK17,IF(AND($D$2&gt;=1667,$D$4&lt;440000),'แบตเตอรี(ระยะทาง) '!AO17,IF(AND($D$2&gt;=1667,$D$4&lt;480000),'แบตเตอรี(ระยะทาง) '!AS17,IF(AND($D$2&gt;=1667,$D$4&lt;50000),'แบตเตอรี(ระยะทาง) '!AW17,)))))))))))))))))))))))))))))))))</f>
        <v>0</v>
      </c>
      <c r="J20" s="55">
        <f>IF(AND($D$2&lt;1667,$D$3=1),'แบตเตอรีไฟฟ้า (ปี)'!B17,IF(AND($D$2&lt;1667,$D$3=2),'แบตเตอรีไฟฟ้า (ปี)'!C17,IF(AND($D$2&lt;1667,$D$3=3),'แบตเตอรีไฟฟ้า (ปี)'!D17,IF(AND($D$2&lt;1667,$D$3=4),'แบตเตอรีไฟฟ้า (ปี)'!E17,IF(AND($D$2&lt;1667,$D$3=5),'แบตเตอรีไฟฟ้า (ปี)'!F17,IF(AND($D$2&lt;1667,$D$3=6),'แบตเตอรีไฟฟ้า (ปี)'!G17,IF(AND($D$2&lt;1667,$D$3=7),'แบตเตอรีไฟฟ้า (ปี)'!H17,IF(AND($D$2&lt;1667,$D$3=8),'แบตเตอรีไฟฟ้า (ปี)'!I17,IF(AND($D$2&lt;1667,$D$3=9),'แบตเตอรีไฟฟ้า (ปี)'!I17,IF(AND($D$2&lt;1667,$D$3=10),'แบตเตอรีไฟฟ้า (ปี)'!K17,IF(AND($D$2&lt;1667,$D$3=11),'แบตเตอรีไฟฟ้า (ปี)'!I17,IF(AND($D$2&lt;1667,$D$3=12),'แบตเตอรีไฟฟ้า (ปี)'!I17,IF(AND($D$2&lt;1667,$D$3=13),'แบตเตอรีไฟฟ้า (ปี)'!I17,IF(AND($D$2&lt;1667,$D$3=14),'แบตเตอรีไฟฟ้า (ปี)'!I17,IF(AND($D$2&lt;1667,$D$3=15),'แบตเตอรีไฟฟ้า (ปี)'!I17,IF(AND($D$2&lt;1667,$D$3=16),'แบตเตอรีไฟฟ้า (ปี)'!Q17,IF(AND($D$2&lt;1667,$D$3=17),'แบตเตอรีไฟฟ้า (ปี)'!Q17,IF(AND($D$2&lt;1667,$D$3=18),'แบตเตอรีไฟฟ้า (ปี)'!Q17,IF(AND($D$2&lt;1667,$D$3=19),'แบตเตอรีไฟฟ้า (ปี)'!Q17,IF(AND($D$2&lt;1667,$D$3=20),'แบตเตอรีไฟฟ้า (ปี)'!Q17,IF(AND($D$2&gt;=1667,$D$4&lt;170000),0,IF(AND($D$2&gt;=1667,$D$4&lt;340000),'แบตเตอรีรถไฟฟ้า(ระยะทาง)'!R17,IF(AND($D$2&gt;=1667,$D$4&lt;510000),'แบตเตอรีรถไฟฟ้า(ระยะทาง)'!AI17,)))))))))))))))))))))))</f>
        <v>0</v>
      </c>
      <c r="K20" s="55">
        <f>IF(AND($D$2&lt;1667,$D$3=1),'ค่าบำรุงรักษา(ปี)'!F17,IF(AND($D$2&lt;1667,$D$3=2),'ค่าบำรุงรักษา(ปี)'!J17,IF(AND($D$2&lt;1667,$D$3=3),'ค่าบำรุงรักษา(ปี)'!N17,IF(AND($D$2&lt;1667,$D$3=4),'ค่าบำรุงรักษา(ปี)'!R17,IF(AND($D$2&lt;1667,$D$3=5),'ค่าบำรุงรักษา(ปี)'!V17,IF(AND($D$2&lt;1667,$D$3=6),'ค่าบำรุงรักษา(ปี)'!Z17,IF(AND($D$2&lt;1667,$D$3=7),'ค่าบำรุงรักษา(ปี)'!AD17,IF(AND($D$2&lt;1667,$D$3=8),'ค่าบำรุงรักษา(ปี)'!AH17,IF(AND($D$2&lt;1667,$D$3=9),'ค่าบำรุงรักษา(ปี)'!AL17,IF(AND($D$2&lt;1667,$D$3=10),'ค่าบำรุงรักษา(ปี)'!AP17,IF(AND($D$2&lt;1667,$D$3=11),'ค่าบำรุงรักษา(ปี)'!AT17,IF(AND($D$2&lt;1667,$D$3=12),'ค่าบำรุงรักษา(ปี)'!AX17,IF(AND($D$2&lt;1667,$D$3=13),'ค่าบำรุงรักษา(ปี)'!BB17,IF(AND($D$2&lt;1667,$D$3=14),'ค่าบำรุงรักษา(ปี)'!BF17,IF(AND($D$2&lt;1667,$D$3=15),'ค่าบำรุงรักษา(ปี)'!BJ17,IF(AND($D$2&lt;1667,$D$3=16),'ค่าบำรุงรักษา(ปี)'!BN17,IF(AND($D$2&lt;1667,$D$3=17),'ค่าบำรุงรักษา(ปี)'!BR17,IF(AND($D$2&lt;1667,$D$3=18),'ค่าบำรุงรักษา(ปี)'!BV17,IF(AND($D$2&lt;1667,$D$3=19),'ค่าบำรุงรักษา(ปี)'!BZ17,IF(AND($D$2&lt;1667,$D$3=20),'ค่าบำรุงรักษา(ปี)'!CD17,IF(AND($D$2&gt;=1667,$D$4&lt;30000),'ค่าบำรุงรักษา (ระยะทาง)'!G17,IF(AND($D$2&gt;=1667,$D$4&lt;40000),'ค่าบำรุงรักษา (ระยะทาง)'!I17,IF(AND($D$2&gt;=1667,$D$4&lt;50000),'ค่าบำรุงรักษา (ระยะทาง)'!K17,IF(AND($D$2&gt;=1667,$D$4&lt;60000),'ค่าบำรุงรักษา (ระยะทาง)'!M17,IF(AND($D$2&gt;=1667,$D$4&lt;70000),'ค่าบำรุงรักษา (ระยะทาง)'!O17,IF(AND($D$2&gt;=1667,$D$4&lt;80000),'ค่าบำรุงรักษา (ระยะทาง)'!Q17,IF(AND($D$2&gt;=1667,$D$4&lt;90000),'ค่าบำรุงรักษา (ระยะทาง)'!S17,IF(AND($D$2&gt;=1667,$D$4&lt;100000),'ค่าบำรุงรักษา (ระยะทาง)'!U17,IF(AND($D$2&gt;=1667,$D$4&lt;110000),'ค่าบำรุงรักษา (ระยะทาง)'!W17,IF(AND($D$2&gt;=1667,$D$4&lt;120000),'ค่าบำรุงรักษา (ระยะทาง)'!Y17,IF(AND($D$2&gt;=1667,$D$4&lt;130000),'ค่าบำรุงรักษา (ระยะทาง)'!AA17,IF(AND($D$2&gt;=1667,$D$4&lt;140000),'ค่าบำรุงรักษา (ระยะทาง)'!AC17,IF(AND($D$2&gt;=1667,$D$4&lt;150000),'ค่าบำรุงรักษา (ระยะทาง)'!AE17,IF(AND($D$2&gt;=1667,$D$4&lt;160000),'ค่าบำรุงรักษา (ระยะทาง)'!AG17,IF(AND($D$2&gt;=1667,$D$4&lt;170000),'ค่าบำรุงรักษา (ระยะทาง)'!AI17,IF(AND($D$2&gt;=1667,$D$4&lt;180000),'ค่าบำรุงรักษา (ระยะทาง)'!AK17,IF(AND($D$2&gt;=1667,$D$4&lt;190000),'ค่าบำรุงรักษา (ระยะทาง)'!AM17,IF(AND($D$2&gt;=1667,$D$4&lt;200000),'ค่าบำรุงรักษา (ระยะทาง)'!AO17,IF(AND($D$2&gt;=1667,$D$4&lt;210000),'ค่าบำรุงรักษา (ระยะทาง)'!AQ17,IF(AND($D$2&gt;=1667,$D$4&lt;220000),'ค่าบำรุงรักษา (ระยะทาง)'!AS17,IF(AND($D$2&gt;=1667,$D$4&lt;220000),'ค่าบำรุงรักษา (ระยะทาง)'!AU17,IF(AND($D$2&gt;=1667,$D$4&lt;240000),'ค่าบำรุงรักษา (ระยะทาง)'!AW17,IF(AND($D$2&gt;=1667,$D$4&lt;250000),'ค่าบำรุงรักษา (ระยะทาง)'!AY17,IF(AND($D$2&gt;=1667,$D$4&lt;260000),'ค่าบำรุงรักษา (ระยะทาง)'!BA17,IF(AND($D$2&gt;=1667,$D$4&lt;270000),'ค่าบำรุงรักษา (ระยะทาง)'!BC17,IF(AND($D$2&gt;=1667,$D$4&lt;280000),'ค่าบำรุงรักษา (ระยะทาง)'!BE17,IF(AND($D$2&gt;=1667,$D$4&lt;290000),'ค่าบำรุงรักษา (ระยะทาง)'!BG17,IF(AND($D$2&gt;=1667,$D$4&lt;300000),'ค่าบำรุงรักษา (ระยะทาง)'!BH15,IF(AND($D$2&gt;=1667,$D$4&lt;310000),'ค่าบำรุงรักษา (ระยะทาง)'!BK17,IF(AND($D$2&gt;=1667,$D$4&lt;320000),'ค่าบำรุงรักษา (ระยะทาง)'!BM17,IF(AND($D$2&gt;=1667,$D$4&lt;330000),'ค่าบำรุงรักษา (ระยะทาง)'!BO17,IF(AND($D$2&gt;=1667,$D$4&lt;340000),'ค่าบำรุงรักษา (ระยะทาง)'!BQ17,IF(AND($D$2&gt;=1667,$D$4&lt;350000),'ค่าบำรุงรักษา (ระยะทาง)'!BS17,IF(AND($D$2&gt;=1667,$D$4&lt;370000),'ค่าบำรุงรักษา (ระยะทาง)'!BW17,IF(AND($D$2&gt;=1667,$D$4&lt;380000),'ค่าบำรุงรักษา (ระยะทาง)'!BY17,IF(AND($D$2&gt;=1667,$D$4&lt;390000),'ค่าบำรุงรักษา (ระยะทาง)'!CA17,IF(AND($D$2&gt;=1667,$D$4&lt;400000),'ค่าบำรุงรักษา (ระยะทาง)'!CC17,IF(AND($D$2&gt;=1667,$D$4&lt;430000),'ค่าบำรุงรักษา (ระยะทาง)'!CE17,IF(AND($D$2&gt;=1667,$D$4&lt;430000),'ค่าบำรุงรักษา (ระยะทาง)'!CI17,IF(AND($D$2&gt;=1667,$D$4&lt;440000),'ค่าบำรุงรักษา (ระยะทาง)'!CK17,IF(AND($D$2&gt;=1667,$D$4&lt;460000),'ค่าบำรุงรักษา (ระยะทาง)'!CO17,IF(AND($D$2&gt;=1667,$D$4&lt;470000),'ค่าบำรุงรักษา (ระยะทาง)'!CQ17,IF(AND($D$2&gt;=1667,$D$4&lt;480000),'ค่าบำรุงรักษา (ระยะทาง)'!CS17,IF(AND($D$2&gt;=1667,$D$4&lt;490000),'ค่าบำรุงรักษา (ระยะทาง)'!CU17))))))))))))))))))))))))))))))))))))))))))))))))))))))))))))))))</f>
        <v>3300</v>
      </c>
      <c r="L20" s="55">
        <f t="shared" si="2"/>
        <v>13500</v>
      </c>
      <c r="M20" s="56">
        <f t="shared" si="3"/>
        <v>848986.21</v>
      </c>
    </row>
    <row r="21" spans="1:13" ht="24.6">
      <c r="A21" s="38" t="s">
        <v>123</v>
      </c>
      <c r="B21" s="54">
        <f>ค่าพลังงาน!B20</f>
        <v>5.6</v>
      </c>
      <c r="C21" s="55">
        <f>ราคาเริ่มต้น!B18</f>
        <v>799000</v>
      </c>
      <c r="D21" s="55">
        <f>IF($D$3=1,ราคาเริ่มต้น!D18,IF($D$3=2,ราคาเริ่มต้น!E18,IF($D$3=3,ราคาเริ่มต้น!F18,IF($D$3=4,ราคาเริ่มต้น!G18,IF($D$3=5,ราคาเริ่มต้น!H18,IF($D$3=6,ราคาเริ่มต้น!I18,IF($D$3=7,ราคาเริ่มต้น!J18,IF($D$3=8,ราคาเริ่มต้น!K18,IF($D$3=9,ราคาเริ่มต้น!L18,IF($D$3=10,ราคาเริ่มต้น!M18,IF($D$3=11,ราคาเริ่มต้น!N18,IF($D$3=12,ราคาเริ่มต้น!O18,IF($D$3=13,ราคาเริ่มต้น!P18,IF($D$3=14,ราคาเริ่มต้น!Q18,IF($D$3=15,ราคาเริ่มต้น!R18,IF($D$3=16,ราคาเริ่มต้น!S18,IF($D$3=17,ราคาเริ่มต้น!T18,IF($D$3=18,ราคาเริ่มต้น!U18,IF($D$3=19,ราคาเริ่มต้น!V18,IF($D$3=20,ราคาเริ่มต้น!W18))))))))))))))))))))</f>
        <v>639200</v>
      </c>
      <c r="E21" s="55">
        <f>IF($D$3=1,ภาษีประจำปี!C18,IF($D$3=2,ภาษีประจำปี!E18,IF($D$3=3,ภาษีประจำปี!F18,IF($D$3=4,ภาษีประจำปี!I18,IF($D$3=5,ภาษีประจำปี!K18,IF($D$3=6,ภาษีประจำปี!M18,IF($D$3=7,ภาษีประจำปี!O18,IF($D$3=8,ภาษีประจำปี!Q18,IF($D$3=9,ภาษีประจำปี!S18,IF($D$3=10,ภาษีประจำปี!U18,IF($D$3=11,ภาษีประจำปี!W18,IF($D$3=12,ภาษีประจำปี!Y18,IF($D$3=13,ภาษีประจำปี!AA18,IF($D$3=14,ภาษีประจำปี!AC18,IF($D$3=15,ภาษีประจำปี!AE18,IF($D$3=16,ภาษีประจำปี!AG18,IF($D$3=17,ภาษีประจำปี!AI18,IF($D$3=18,ภาษีประจำปี!AK18,IF($D$3=19,ภาษีประจำปี!AM18,IF($D$3=20,ภาษีประจำปี!AO18))))))))))))))))))))</f>
        <v>260</v>
      </c>
      <c r="F21" s="55">
        <f>IF($D$3=1,ประกันภัยบังคับ!B18,IF($D$3=2,ประกันภัยบังคับ!C18,IF($D$3=3,ประกันภัยบังคับ!D18,IF($D$3=4,ประกันภัยบังคับ!E18,IF($D$3=5,ประกันภัยบังคับ!F18,IF($D$3=6,ประกันภัยบังคับ!G18,IF($D$3=7,ประกันภัยบังคับ!H18,IF($D$3=8,ประกันภัยบังคับ!I18,IF($D$3=9,ประกันภัยบังคับ!J18,IF($D$3=10,ประกันภัยบังคับ!K18,IF($D$3=11,ประกันภัยบังคับ!L18,IF($D$3=12,ประกันภัยบังคับ!M18,IF($D$3=13,ประกันภัยบังคับ!N18,IF($D$3=14,ประกันภัยบังคับ!O18,IF($D$3=15,ประกันภัยบังคับ!P18,IF($D$3=16,ประกันภัยบังคับ!Q18,IF($D$3=17,ประกันภัยบังคับ!R18,IF($D$3=18,ประกันภัยบังคับ!S18,IF($D$3=19,ประกันภัยบังคับ!T18,IF($D$3=20,ประกันภัยบังคับ!U18))))))))))))))))))))</f>
        <v>645.21</v>
      </c>
      <c r="G21" s="55">
        <f>IF($D$3=1,ประกันภัยชั้น1!C18,IF($D$3=2,ประกันภัยชั้น1!E18,IF($D$3=3,ประกันภัยชั้น1!G18,IF($D$3=4,ประกันภัยชั้น1!I18,IF($D$3=5,ประกันภัยชั้น1!K18,IF($D$3=6,ประกันภัยชั้น1!M18,IF($D$3=7,ประกันภัยชั้น1!O18,IF($D$3=8,ประกันภัยชั้น1!Q18,IF($D$3=9,ประกันภัยชั้น1!S18,IF($D$3=10,ประกันภัยชั้น1!U18,IF($D$3=11,ประกันภัยชั้น1!W18,IF($D$3=12,ประกันภัยชั้น1!Y18,IF($D$3=13,ประกันภัยชั้น1!AA18,IF($D$3=14,ประกันภัยชั้น1!AC18,IF($D$3=15,ประกันภัยชั้น1!AE18,IF($D$3=16,ประกันภัยชั้น1!AG18,IF($D$3=17,ประกันภัยชั้น1!AI18,IF($D$3=18,ประกันภัยชั้น1!AK18,IF($D$3=19,ประกันภัยชั้น1!AM18,IF($D$3=20,ประกันภัยชั้น1!AO18))))))))))))))))))))</f>
        <v>32281</v>
      </c>
      <c r="H21" s="55">
        <f>IF(AND($D$2&lt;1667,$D$3=1),'ยางรถ (ปี)'!B20,IF(AND($D$2&lt;1667,$D$3=2),'ยางรถ (ปี)'!C20,IF(AND($D$2&lt;1667,$D$3=3),'ยางรถ (ปี)'!C20,IF(AND($D$2&lt;1667,$D$3=4),'ยางรถ (ปี)'!E20,IF(AND($D$2&lt;1667,$D$3=5),'ยางรถ (ปี)'!E20,IF(AND($D$2&lt;1667,$D$3=6),'ยางรถ (ปี)'!G20,IF(AND($D$2&lt;1667,$D$3=7),'ยางรถ (ปี)'!G20,IF(AND($D$2&lt;1667,$D$3=8),'ยางรถ (ปี)'!I20,IF(AND($D$2&lt;1667,$D$3=9),'ยางรถ (ปี)'!I20,IF(AND($D$2&lt;1667,$D$3=10),'ยางรถ (ปี)'!K20,IF(AND($D$2&lt;1667,$D$3=11),'ยางรถ (ปี)'!K20,IF(AND($D$2&lt;1667,$D$3=12),'ยางรถ (ปี)'!M20,IF(AND($D$2&lt;1667,$D$3=13),'ยางรถ (ปี)'!M20,IF(AND($D$2&lt;1667,$D$3=14),'ยางรถ (ปี)'!O20,IF(AND($D$2&lt;1667,$D$3=15),'ยางรถ (ปี)'!O20,IF(AND($D$2&lt;1667,$D$3=16),'ยางรถ (ปี)'!Q20,IF(AND($D$2&lt;1667,$D$3=17),'ยางรถ (ปี)'!Q20,IF(AND($D$2&lt;1667,$D$3=18),'ยางรถ (ปี)'!S20,IF(AND($D$2&lt;1667,$D$3=19),'ยางรถ (ปี)'!S20,IF(AND($D$2&lt;1667,$D$3=20),'ยางรถ (ปี)'!U20,IF(AND($D$2&lt;1667,$D$3=21),'ยางรถ (ปี)'!V20,IF(AND($D$2&gt;=1667,$D$4&lt;40000),0,IF(AND($D$2&gt;=1667, $D$4&lt;80000),'ยางรถ(ระยะทาง)'!F18,IF(AND($D$2&gt;=1667, $D$4&lt;120000),'ยางรถ(ระยะทาง)'!L18,IF(AND($D$2&gt;=1667, $D$4&lt;160000),'ยางรถ(ระยะทาง)'!R18,IF(AND($D$2&gt;=1667, $D$4&lt;200000),'ยางรถ(ระยะทาง)'!X18,IF(AND($D$2&gt;=1667, $D$4&lt;240000),'ยางรถ(ระยะทาง)'!Y18,IF(AND($D$2&gt;=1667, $D$4&lt;280000),'ยางรถ(ระยะทาง)'!AE18,IF(AND($D$2&gt;=1667, $D$4&lt;320000),'ยางรถ(ระยะทาง)'!AK18,IF(AND($D$2&gt;=1667, $D$4&lt;360000),'ยางรถ(ระยะทาง)'!AQ18,IF(AND($D$2&gt;=1667, $D$4&lt;400000),'ยางรถ(ระยะทาง)'!AW18,IF(AND($D$2&gt;=1667, $D$4&lt;440000),'ยางรถ(ระยะทาง)'!AX18,IF(AND($D$2&gt;=1667, $D$4&lt;480000),'ยางรถ(ระยะทาง)'!BC18,IF(AND($D$2&gt;=1667, $D$4&lt;520000),'ยางรถ(ระยะทาง)'!BI18,IF(AND($D$2&gt;=1667, $D$4&lt;560000),'ยางรถ(ระยะทาง)'!BK18,IF(AND($D$2&gt;=1667, $D$4&lt;600000),'ยางรถ(ระยะทาง)'!BM18,IF(AND($D$2&gt;=1667, $D$4&lt;640000),'ยางรถ(ระยะทาง)'!BN18,IF(AND($D$2&gt;=1667, $D$4&lt;680000),'ยางรถ(ระยะทาง)'!BO18,IF(AND($D$2&gt;=1667, $D$4&lt;720000),'ยางรถ(ระยะทาง)'!BQ18,IF(AND($D$2&gt;=1667, $D$4&lt;760000),'ยางรถ(ระยะทาง)'!BS18,IF(AND($D$2&gt;=1667, $D$4&lt;800000),'ยางรถ(ระยะทาง)'!BU18)))))))))))))))))))))))))))))))))))))))))</f>
        <v>0</v>
      </c>
      <c r="I21" s="55">
        <f>IF(AND($D$2&lt;1667,$D$3=1),'แบตเตอร์รี่ (ปี)'!B18,IF(AND($D$2&lt;1667,$D$3=2),'แบตเตอร์รี่ (ปี)'!C18,IF(AND($D$2&lt;1667,$D$3=3),'แบตเตอร์รี่ (ปี)'!C18,IF(AND($D$2&lt;1667,$D$3=4),'แบตเตอร์รี่ (ปี)'!E18,IF(AND($D$2&lt;1667,$D$3=5),'แบตเตอร์รี่ (ปี)'!E18,IF(AND($D$2&lt;1667,$D$3=6),'แบตเตอร์รี่ (ปี)'!G18,IF(AND($D$2&lt;1667,$D$3=7),'แบตเตอร์รี่ (ปี)'!G18,IF(AND($D$2&lt;1667,$D$3=8),'แบตเตอร์รี่ (ปี)'!I18,IF(AND($D$2&lt;1667,$D$3=9),'แบตเตอร์รี่ (ปี)'!I18,IF(AND($D$2&lt;1667,$D$3=10),'แบตเตอร์รี่ (ปี)'!K18,IF(AND($D$2&lt;1667,$D$3=11),'แบตเตอร์รี่ (ปี)'!K18,IF(AND($D$2&lt;1667,$D$3=12),'แบตเตอร์รี่ (ปี)'!M18,IF(AND($D$2&lt;1667,$D$3=13),'แบตเตอร์รี่ (ปี)'!M18,IF(AND($D$2&lt;1667,$D$3=14),'แบตเตอร์รี่ (ปี)'!O18,IF(AND($D$2&lt;1667,$D$3=15),'แบตเตอร์รี่ (ปี)'!O18,IF(AND($D$2&lt;1667,$D$3=16),'แบตเตอร์รี่ (ปี)'!Q18,IF(AND($D$2&lt;1667,$D$3=17),'แบตเตอร์รี่ (ปี)'!Q18,IF(AND($D$2&lt;1667,$D$3=18),'แบตเตอร์รี่ (ปี)'!S18,IF(AND($D$2&lt;1667,$D$3=19),'แบตเตอร์รี่ (ปี)'!S18,IF(AND($D$2&lt;1667,$D$3=20),'แบตเตอร์รี่ (ปี)'!U18,IF(AND($D$2&gt;=1667,$D$4&lt;40000),0,IF(AND($D$2&gt;=1667,$D$4&lt;80000),'แบตเตอรี(ระยะทาง) '!E18,IF(AND($D$2&gt;=1667,$D$4&lt;120000),'แบตเตอรี(ระยะทาง) '!I18,IF(AND($D$2&gt;=1667,$D$4&lt;160000),'แบตเตอรี(ระยะทาง) '!M18,IF(AND($D$2&gt;=1667,$D$4&lt;200000),'แบตเตอรี(ระยะทาง) '!Q18,IF(AND($D$2&gt;=1667,$D$4&lt;240000),'แบตเตอรี(ระยะทาง) '!E18,IF(AND($D$2&gt;=1667,$D$4&lt;280000),'แบตเตอรี(ระยะทาง) '!Y18,IF(AND($D$2&gt;=1667,$D$4&lt;320000),'แบตเตอรี(ระยะทาง) '!AC18,IF(AND($D$2&gt;=1667,$D$4&lt;360000),'แบตเตอรี(ระยะทาง) '!AG18,IF(AND($D$2&gt;=1667,$D$4&lt;400000),'แบตเตอรี(ระยะทาง) '!AK18,IF(AND($D$2&gt;=1667,$D$4&lt;440000),'แบตเตอรี(ระยะทาง) '!AO18,IF(AND($D$2&gt;=1667,$D$4&lt;480000),'แบตเตอรี(ระยะทาง) '!AS18,IF(AND($D$2&gt;=1667,$D$4&lt;50000),'แบตเตอรี(ระยะทาง) '!AW18,)))))))))))))))))))))))))))))))))</f>
        <v>0</v>
      </c>
      <c r="J21" s="55">
        <f>IF(AND($D$2&lt;1667,$D$3=1),'แบตเตอรีไฟฟ้า (ปี)'!B18,IF(AND($D$2&lt;1667,$D$3=2),'แบตเตอรีไฟฟ้า (ปี)'!C18,IF(AND($D$2&lt;1667,$D$3=3),'แบตเตอรีไฟฟ้า (ปี)'!D18,IF(AND($D$2&lt;1667,$D$3=4),'แบตเตอรีไฟฟ้า (ปี)'!E18,IF(AND($D$2&lt;1667,$D$3=5),'แบตเตอรีไฟฟ้า (ปี)'!F18,IF(AND($D$2&lt;1667,$D$3=6),'แบตเตอรีไฟฟ้า (ปี)'!G18,IF(AND($D$2&lt;1667,$D$3=7),'แบตเตอรีไฟฟ้า (ปี)'!H18,IF(AND($D$2&lt;1667,$D$3=8),'แบตเตอรีไฟฟ้า (ปี)'!I18,IF(AND($D$2&lt;1667,$D$3=9),'แบตเตอรีไฟฟ้า (ปี)'!I18,IF(AND($D$2&lt;1667,$D$3=10),'แบตเตอรีไฟฟ้า (ปี)'!K18,IF(AND($D$2&lt;1667,$D$3=11),'แบตเตอรีไฟฟ้า (ปี)'!I18,IF(AND($D$2&lt;1667,$D$3=12),'แบตเตอรีไฟฟ้า (ปี)'!I18,IF(AND($D$2&lt;1667,$D$3=13),'แบตเตอรีไฟฟ้า (ปี)'!I18,IF(AND($D$2&lt;1667,$D$3=14),'แบตเตอรีไฟฟ้า (ปี)'!I18,IF(AND($D$2&lt;1667,$D$3=15),'แบตเตอรีไฟฟ้า (ปี)'!I18,IF(AND($D$2&lt;1667,$D$3=16),'แบตเตอรีไฟฟ้า (ปี)'!Q18,IF(AND($D$2&lt;1667,$D$3=17),'แบตเตอรีไฟฟ้า (ปี)'!Q18,IF(AND($D$2&lt;1667,$D$3=18),'แบตเตอรีไฟฟ้า (ปี)'!Q18,IF(AND($D$2&lt;1667,$D$3=19),'แบตเตอรีไฟฟ้า (ปี)'!Q18,IF(AND($D$2&lt;1667,$D$3=20),'แบตเตอรีไฟฟ้า (ปี)'!Q18,IF(AND($D$2&gt;=1667,$D$4&lt;170000),0,IF(AND($D$2&gt;=1667,$D$4&lt;340000),'แบตเตอรีรถไฟฟ้า(ระยะทาง)'!R18,IF(AND($D$2&gt;=1667,$D$4&lt;510000),'แบตเตอรีรถไฟฟ้า(ระยะทาง)'!AI18,)))))))))))))))))))))))</f>
        <v>0</v>
      </c>
      <c r="K21" s="55">
        <f>IF(AND($D$2&lt;1667,$D$3=1),'ค่าบำรุงรักษา(ปี)'!F18,IF(AND($D$2&lt;1667,$D$3=2),'ค่าบำรุงรักษา(ปี)'!J18,IF(AND($D$2&lt;1667,$D$3=3),'ค่าบำรุงรักษา(ปี)'!N18,IF(AND($D$2&lt;1667,$D$3=4),'ค่าบำรุงรักษา(ปี)'!R18,IF(AND($D$2&lt;1667,$D$3=5),'ค่าบำรุงรักษา(ปี)'!V18,IF(AND($D$2&lt;1667,$D$3=6),'ค่าบำรุงรักษา(ปี)'!Z18,IF(AND($D$2&lt;1667,$D$3=7),'ค่าบำรุงรักษา(ปี)'!AD18,IF(AND($D$2&lt;1667,$D$3=8),'ค่าบำรุงรักษา(ปี)'!AH18,IF(AND($D$2&lt;1667,$D$3=9),'ค่าบำรุงรักษา(ปี)'!AL18,IF(AND($D$2&lt;1667,$D$3=10),'ค่าบำรุงรักษา(ปี)'!AP18,IF(AND($D$2&lt;1667,$D$3=11),'ค่าบำรุงรักษา(ปี)'!AT18,IF(AND($D$2&lt;1667,$D$3=12),'ค่าบำรุงรักษา(ปี)'!AX18,IF(AND($D$2&lt;1667,$D$3=13),'ค่าบำรุงรักษา(ปี)'!BB18,IF(AND($D$2&lt;1667,$D$3=14),'ค่าบำรุงรักษา(ปี)'!BF18,IF(AND($D$2&lt;1667,$D$3=15),'ค่าบำรุงรักษา(ปี)'!BJ18,IF(AND($D$2&lt;1667,$D$3=16),'ค่าบำรุงรักษา(ปี)'!BN18,IF(AND($D$2&lt;1667,$D$3=17),'ค่าบำรุงรักษา(ปี)'!BR18,IF(AND($D$2&lt;1667,$D$3=18),'ค่าบำรุงรักษา(ปี)'!BV18,IF(AND($D$2&lt;1667,$D$3=19),'ค่าบำรุงรักษา(ปี)'!BZ18,IF(AND($D$2&lt;1667,$D$3=20),'ค่าบำรุงรักษา(ปี)'!CD18,IF(AND($D$2&gt;=1667,$D$4&lt;30000),'ค่าบำรุงรักษา (ระยะทาง)'!G18,IF(AND($D$2&gt;=1667,$D$4&lt;40000),'ค่าบำรุงรักษา (ระยะทาง)'!I18,IF(AND($D$2&gt;=1667,$D$4&lt;50000),'ค่าบำรุงรักษา (ระยะทาง)'!K18,IF(AND($D$2&gt;=1667,$D$4&lt;60000),'ค่าบำรุงรักษา (ระยะทาง)'!M18,IF(AND($D$2&gt;=1667,$D$4&lt;70000),'ค่าบำรุงรักษา (ระยะทาง)'!O18,IF(AND($D$2&gt;=1667,$D$4&lt;80000),'ค่าบำรุงรักษา (ระยะทาง)'!Q18,IF(AND($D$2&gt;=1667,$D$4&lt;90000),'ค่าบำรุงรักษา (ระยะทาง)'!S18,IF(AND($D$2&gt;=1667,$D$4&lt;100000),'ค่าบำรุงรักษา (ระยะทาง)'!U18,IF(AND($D$2&gt;=1667,$D$4&lt;110000),'ค่าบำรุงรักษา (ระยะทาง)'!W18,IF(AND($D$2&gt;=1667,$D$4&lt;120000),'ค่าบำรุงรักษา (ระยะทาง)'!Y18,IF(AND($D$2&gt;=1667,$D$4&lt;130000),'ค่าบำรุงรักษา (ระยะทาง)'!AA18,IF(AND($D$2&gt;=1667,$D$4&lt;140000),'ค่าบำรุงรักษา (ระยะทาง)'!AC18,IF(AND($D$2&gt;=1667,$D$4&lt;150000),'ค่าบำรุงรักษา (ระยะทาง)'!AE18,IF(AND($D$2&gt;=1667,$D$4&lt;160000),'ค่าบำรุงรักษา (ระยะทาง)'!AG18,IF(AND($D$2&gt;=1667,$D$4&lt;170000),'ค่าบำรุงรักษา (ระยะทาง)'!AI18,IF(AND($D$2&gt;=1667,$D$4&lt;180000),'ค่าบำรุงรักษา (ระยะทาง)'!AK18,IF(AND($D$2&gt;=1667,$D$4&lt;190000),'ค่าบำรุงรักษา (ระยะทาง)'!AM18,IF(AND($D$2&gt;=1667,$D$4&lt;200000),'ค่าบำรุงรักษา (ระยะทาง)'!AO18,IF(AND($D$2&gt;=1667,$D$4&lt;210000),'ค่าบำรุงรักษา (ระยะทาง)'!AQ18,IF(AND($D$2&gt;=1667,$D$4&lt;220000),'ค่าบำรุงรักษา (ระยะทาง)'!AS18,IF(AND($D$2&gt;=1667,$D$4&lt;220000),'ค่าบำรุงรักษา (ระยะทาง)'!AU18,IF(AND($D$2&gt;=1667,$D$4&lt;240000),'ค่าบำรุงรักษา (ระยะทาง)'!AW18,IF(AND($D$2&gt;=1667,$D$4&lt;250000),'ค่าบำรุงรักษา (ระยะทาง)'!AY18,IF(AND($D$2&gt;=1667,$D$4&lt;260000),'ค่าบำรุงรักษา (ระยะทาง)'!BA18,IF(AND($D$2&gt;=1667,$D$4&lt;270000),'ค่าบำรุงรักษา (ระยะทาง)'!BC18,IF(AND($D$2&gt;=1667,$D$4&lt;280000),'ค่าบำรุงรักษา (ระยะทาง)'!BE18,IF(AND($D$2&gt;=1667,$D$4&lt;290000),'ค่าบำรุงรักษา (ระยะทาง)'!BG18,IF(AND($D$2&gt;=1667,$D$4&lt;300000),'ค่าบำรุงรักษา (ระยะทาง)'!BH16,IF(AND($D$2&gt;=1667,$D$4&lt;310000),'ค่าบำรุงรักษา (ระยะทาง)'!BK18,IF(AND($D$2&gt;=1667,$D$4&lt;320000),'ค่าบำรุงรักษา (ระยะทาง)'!BM18,IF(AND($D$2&gt;=1667,$D$4&lt;330000),'ค่าบำรุงรักษา (ระยะทาง)'!BO18,IF(AND($D$2&gt;=1667,$D$4&lt;340000),'ค่าบำรุงรักษา (ระยะทาง)'!BQ18,IF(AND($D$2&gt;=1667,$D$4&lt;350000),'ค่าบำรุงรักษา (ระยะทาง)'!BS18,IF(AND($D$2&gt;=1667,$D$4&lt;370000),'ค่าบำรุงรักษา (ระยะทาง)'!BW18,IF(AND($D$2&gt;=1667,$D$4&lt;380000),'ค่าบำรุงรักษา (ระยะทาง)'!BY18,IF(AND($D$2&gt;=1667,$D$4&lt;390000),'ค่าบำรุงรักษา (ระยะทาง)'!CA18,IF(AND($D$2&gt;=1667,$D$4&lt;400000),'ค่าบำรุงรักษา (ระยะทาง)'!CC18,IF(AND($D$2&gt;=1667,$D$4&lt;430000),'ค่าบำรุงรักษา (ระยะทาง)'!CE18,IF(AND($D$2&gt;=1667,$D$4&lt;430000),'ค่าบำรุงรักษา (ระยะทาง)'!CI18,IF(AND($D$2&gt;=1667,$D$4&lt;440000),'ค่าบำรุงรักษา (ระยะทาง)'!CK18,IF(AND($D$2&gt;=1667,$D$4&lt;460000),'ค่าบำรุงรักษา (ระยะทาง)'!CO18,IF(AND($D$2&gt;=1667,$D$4&lt;470000),'ค่าบำรุงรักษา (ระยะทาง)'!CQ18,IF(AND($D$2&gt;=1667,$D$4&lt;480000),'ค่าบำรุงรักษา (ระยะทาง)'!CS18,IF(AND($D$2&gt;=1667,$D$4&lt;490000),'ค่าบำรุงรักษา (ระยะทาง)'!CU18))))))))))))))))))))))))))))))))))))))))))))))))))))))))))))))))</f>
        <v>3300</v>
      </c>
      <c r="L21" s="55">
        <f t="shared" si="2"/>
        <v>13500</v>
      </c>
      <c r="M21" s="56">
        <f t="shared" si="3"/>
        <v>848986.21</v>
      </c>
    </row>
    <row r="22" spans="1:13" ht="24.6">
      <c r="A22" s="38"/>
      <c r="B22" s="38"/>
      <c r="C22" s="38"/>
      <c r="D22" s="38"/>
      <c r="E22" s="38"/>
      <c r="F22" s="38"/>
      <c r="G22" s="38"/>
      <c r="H22" s="38"/>
      <c r="I22" s="38"/>
      <c r="J22" s="38"/>
      <c r="K22" s="38"/>
      <c r="L22" s="44"/>
      <c r="M22" s="38"/>
    </row>
    <row r="23" spans="1:13" ht="24.6">
      <c r="A23" s="38"/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  <c r="M23" s="38"/>
    </row>
    <row r="24" spans="1:13" ht="24.6">
      <c r="A24" s="38"/>
      <c r="B24" s="38"/>
      <c r="C24" s="38"/>
      <c r="D24" s="38"/>
      <c r="E24" s="38"/>
      <c r="F24" s="38"/>
      <c r="G24" s="38"/>
      <c r="H24" s="38"/>
      <c r="I24" s="38"/>
      <c r="J24" s="38"/>
      <c r="K24" s="38"/>
      <c r="L24" s="38"/>
      <c r="M24" s="38"/>
    </row>
    <row r="25" spans="1:13" ht="24.6">
      <c r="A25" s="38"/>
      <c r="B25" s="38"/>
      <c r="C25" s="38"/>
      <c r="D25" s="38"/>
      <c r="E25" s="38"/>
      <c r="F25" s="38"/>
      <c r="G25" s="38"/>
      <c r="H25" s="38"/>
      <c r="I25" s="38"/>
      <c r="J25" s="38"/>
      <c r="K25" s="38"/>
      <c r="L25" s="38"/>
      <c r="M25" s="38"/>
    </row>
    <row r="26" spans="1:13">
      <c r="B26" s="45"/>
      <c r="C26" s="45"/>
      <c r="D26" s="45"/>
      <c r="E26" s="45"/>
      <c r="F26" s="45"/>
      <c r="G26" s="45"/>
      <c r="H26" s="45"/>
      <c r="I26" s="45"/>
      <c r="J26" s="45"/>
      <c r="K26" s="45"/>
      <c r="L26" s="45"/>
    </row>
    <row r="27" spans="1:13">
      <c r="B27" s="45"/>
      <c r="C27" s="45"/>
      <c r="D27" s="45"/>
      <c r="E27" s="45"/>
      <c r="F27" s="45"/>
      <c r="G27" s="45"/>
      <c r="H27" s="45"/>
      <c r="I27" s="45"/>
      <c r="J27" s="45"/>
      <c r="K27" s="45"/>
      <c r="L27" s="45"/>
    </row>
    <row r="28" spans="1:13">
      <c r="B28" s="45"/>
      <c r="C28" s="45"/>
      <c r="D28" s="45"/>
      <c r="E28" s="45"/>
      <c r="F28" s="45"/>
      <c r="G28" s="45"/>
      <c r="H28" s="45"/>
      <c r="I28" s="45"/>
      <c r="J28" s="45"/>
      <c r="K28" s="45"/>
      <c r="L28" s="45"/>
    </row>
    <row r="29" spans="1:13">
      <c r="B29" s="45"/>
      <c r="C29" s="45"/>
      <c r="D29" s="45"/>
      <c r="E29" s="45"/>
      <c r="F29" s="45"/>
      <c r="G29" s="45"/>
      <c r="H29" s="45"/>
      <c r="I29" s="45"/>
      <c r="J29" s="45"/>
      <c r="K29" s="45"/>
      <c r="L29" s="45"/>
    </row>
    <row r="30" spans="1:13">
      <c r="B30" s="45"/>
      <c r="C30" s="45"/>
      <c r="D30" s="45"/>
      <c r="E30" s="45"/>
      <c r="F30" s="45"/>
      <c r="G30" s="45"/>
      <c r="H30" s="45"/>
      <c r="I30" s="45"/>
      <c r="J30" s="45"/>
      <c r="K30" s="45"/>
      <c r="L30" s="45"/>
    </row>
  </sheetData>
  <mergeCells count="6">
    <mergeCell ref="A1:M1"/>
    <mergeCell ref="E6:M6"/>
    <mergeCell ref="D6:D7"/>
    <mergeCell ref="C6:C7"/>
    <mergeCell ref="B6:B7"/>
    <mergeCell ref="A6:A7"/>
  </mergeCells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C0FD05-020C-4ECA-85B5-798A7237D704}">
  <dimension ref="A2:W22"/>
  <sheetViews>
    <sheetView zoomScale="70" zoomScaleNormal="70" workbookViewId="0">
      <selection activeCell="F15" sqref="F15"/>
    </sheetView>
  </sheetViews>
  <sheetFormatPr defaultColWidth="8.88671875" defaultRowHeight="24.6"/>
  <cols>
    <col min="1" max="1" width="39.21875" style="1" customWidth="1"/>
    <col min="2" max="2" width="20.77734375" style="1" customWidth="1"/>
    <col min="3" max="3" width="13.33203125" style="1" customWidth="1"/>
    <col min="4" max="4" width="19.21875" style="1" customWidth="1"/>
    <col min="5" max="5" width="21.109375" style="1" customWidth="1"/>
    <col min="6" max="6" width="19.88671875" style="1" customWidth="1"/>
    <col min="7" max="7" width="18" style="1" customWidth="1"/>
    <col min="8" max="8" width="16.109375" style="1" customWidth="1"/>
    <col min="9" max="9" width="15.5546875" style="1" customWidth="1"/>
    <col min="10" max="11" width="15.44140625" style="1" customWidth="1"/>
    <col min="12" max="12" width="16.21875" style="1" customWidth="1"/>
    <col min="13" max="13" width="16.44140625" style="1" customWidth="1"/>
    <col min="14" max="15" width="15.88671875" style="1" customWidth="1"/>
    <col min="16" max="16" width="18.109375" style="1" customWidth="1"/>
    <col min="17" max="17" width="16.109375" style="1" customWidth="1"/>
    <col min="18" max="18" width="17.5546875" style="1" customWidth="1"/>
    <col min="19" max="19" width="15.44140625" style="1" customWidth="1"/>
    <col min="20" max="20" width="15.5546875" style="1" customWidth="1"/>
    <col min="21" max="21" width="15" style="1" customWidth="1"/>
    <col min="22" max="23" width="15.88671875" style="1" customWidth="1"/>
    <col min="24" max="24" width="13.33203125" style="1" customWidth="1"/>
    <col min="25" max="16384" width="8.88671875" style="1"/>
  </cols>
  <sheetData>
    <row r="2" spans="1:23">
      <c r="B2" s="1" t="s">
        <v>1</v>
      </c>
      <c r="D2" s="1" t="s">
        <v>60</v>
      </c>
      <c r="R2" s="11">
        <v>0.3</v>
      </c>
    </row>
    <row r="3" spans="1:23">
      <c r="D3" s="1" t="s">
        <v>40</v>
      </c>
      <c r="E3" s="1" t="s">
        <v>41</v>
      </c>
      <c r="F3" s="1" t="s">
        <v>42</v>
      </c>
      <c r="G3" s="1" t="s">
        <v>43</v>
      </c>
      <c r="H3" s="1" t="s">
        <v>44</v>
      </c>
      <c r="I3" s="1" t="s">
        <v>45</v>
      </c>
      <c r="J3" s="1" t="s">
        <v>46</v>
      </c>
      <c r="K3" s="1" t="s">
        <v>47</v>
      </c>
      <c r="L3" s="1" t="s">
        <v>48</v>
      </c>
      <c r="M3" s="1" t="s">
        <v>49</v>
      </c>
      <c r="N3" s="1" t="s">
        <v>50</v>
      </c>
      <c r="O3" s="1" t="s">
        <v>51</v>
      </c>
      <c r="P3" s="1" t="s">
        <v>52</v>
      </c>
      <c r="Q3" s="1" t="s">
        <v>53</v>
      </c>
      <c r="R3" s="1" t="s">
        <v>54</v>
      </c>
      <c r="S3" s="1" t="s">
        <v>55</v>
      </c>
      <c r="T3" s="1" t="s">
        <v>56</v>
      </c>
      <c r="U3" s="1" t="s">
        <v>57</v>
      </c>
      <c r="V3" s="1" t="s">
        <v>58</v>
      </c>
      <c r="W3" s="1" t="s">
        <v>59</v>
      </c>
    </row>
    <row r="4" spans="1:23">
      <c r="A4" s="1" t="s">
        <v>0</v>
      </c>
      <c r="D4" s="1" t="s">
        <v>61</v>
      </c>
      <c r="E4" s="1" t="s">
        <v>65</v>
      </c>
      <c r="F4" s="1" t="s">
        <v>62</v>
      </c>
      <c r="G4" s="1" t="s">
        <v>62</v>
      </c>
      <c r="H4" s="1" t="s">
        <v>62</v>
      </c>
      <c r="I4" s="1" t="s">
        <v>63</v>
      </c>
      <c r="J4" s="1" t="s">
        <v>63</v>
      </c>
      <c r="K4" s="1" t="s">
        <v>63</v>
      </c>
      <c r="L4" s="1" t="s">
        <v>63</v>
      </c>
      <c r="M4" s="1" t="s">
        <v>63</v>
      </c>
      <c r="N4" s="1" t="s">
        <v>64</v>
      </c>
      <c r="O4" s="1" t="s">
        <v>64</v>
      </c>
      <c r="P4" s="1" t="s">
        <v>64</v>
      </c>
      <c r="Q4" s="1" t="s">
        <v>64</v>
      </c>
      <c r="R4" s="1" t="s">
        <v>64</v>
      </c>
      <c r="S4" s="1" t="s">
        <v>64</v>
      </c>
      <c r="T4" s="1" t="s">
        <v>64</v>
      </c>
      <c r="U4" s="1" t="s">
        <v>64</v>
      </c>
      <c r="V4" s="1" t="s">
        <v>64</v>
      </c>
      <c r="W4" s="1" t="s">
        <v>64</v>
      </c>
    </row>
    <row r="5" spans="1:23">
      <c r="A5" s="1" t="s">
        <v>141</v>
      </c>
      <c r="B5" s="12">
        <v>1475000</v>
      </c>
      <c r="D5" s="1">
        <f>B5*(82/100)</f>
        <v>1209500</v>
      </c>
      <c r="E5" s="1">
        <f>B5*(74/100)</f>
        <v>1091500</v>
      </c>
      <c r="F5" s="1">
        <f>B5*(67/100)</f>
        <v>988250.00000000012</v>
      </c>
      <c r="G5" s="1">
        <f>B5*(61/100)</f>
        <v>899750</v>
      </c>
      <c r="H5" s="1">
        <f>B5*(56/100)</f>
        <v>826000.00000000012</v>
      </c>
      <c r="I5" s="1">
        <f>B5*(51/100)</f>
        <v>752250</v>
      </c>
      <c r="J5" s="1">
        <f>B5*(46.5/100)</f>
        <v>685875</v>
      </c>
      <c r="K5" s="1">
        <f>B5*(42.5/100)</f>
        <v>626875</v>
      </c>
      <c r="L5" s="1">
        <f>B5*(38.5/100)</f>
        <v>567875</v>
      </c>
      <c r="M5" s="1">
        <f>B5*(35/100)</f>
        <v>516249.99999999994</v>
      </c>
      <c r="N5" s="1">
        <f>B5*(32/100)</f>
        <v>472000</v>
      </c>
      <c r="O5" s="1">
        <f>B5*(29/100)</f>
        <v>427749.99999999994</v>
      </c>
      <c r="P5" s="1">
        <f>B5*(26.5/100)</f>
        <v>390875</v>
      </c>
      <c r="Q5" s="1">
        <f>B5*(24/100)</f>
        <v>354000</v>
      </c>
      <c r="R5" s="1">
        <f>B5*(22/100)</f>
        <v>324500</v>
      </c>
      <c r="S5" s="1">
        <f>B5*(20/100)</f>
        <v>295000</v>
      </c>
      <c r="T5" s="1">
        <f>B5*(18.5/100)</f>
        <v>272875</v>
      </c>
      <c r="U5" s="1">
        <f>B5*(17/100)</f>
        <v>250750.00000000003</v>
      </c>
      <c r="V5" s="1">
        <f>B5*(16/100)</f>
        <v>236000</v>
      </c>
      <c r="W5" s="1">
        <f>B5*(15/100)</f>
        <v>221250</v>
      </c>
    </row>
    <row r="6" spans="1:23">
      <c r="A6" s="1" t="s">
        <v>142</v>
      </c>
      <c r="B6" s="12">
        <v>909000</v>
      </c>
      <c r="D6" s="9">
        <f t="shared" ref="D6:D12" si="0">B6*(85/100)</f>
        <v>772650</v>
      </c>
      <c r="E6" s="9">
        <f t="shared" ref="E6:H12" si="1">D6*(90/100)</f>
        <v>695385</v>
      </c>
      <c r="F6" s="9">
        <f t="shared" si="1"/>
        <v>625846.5</v>
      </c>
      <c r="G6" s="9">
        <f t="shared" si="1"/>
        <v>563261.85</v>
      </c>
      <c r="H6" s="9">
        <f t="shared" si="1"/>
        <v>506935.66499999998</v>
      </c>
      <c r="I6" s="9">
        <f t="shared" ref="I6:M12" si="2">H6*(93/100)</f>
        <v>471450.16845</v>
      </c>
      <c r="J6" s="9">
        <f t="shared" si="2"/>
        <v>438448.65665850003</v>
      </c>
      <c r="K6" s="9">
        <f t="shared" si="2"/>
        <v>407757.25069240504</v>
      </c>
      <c r="L6" s="9">
        <f t="shared" si="2"/>
        <v>379214.24314393674</v>
      </c>
      <c r="M6" s="9">
        <f t="shared" si="2"/>
        <v>352669.24612386117</v>
      </c>
      <c r="N6" s="9">
        <f t="shared" ref="N6:W6" si="3">M6*(95/100)</f>
        <v>335035.7838176681</v>
      </c>
      <c r="O6" s="9">
        <f t="shared" si="3"/>
        <v>318283.9946267847</v>
      </c>
      <c r="P6" s="9">
        <f t="shared" si="3"/>
        <v>302369.79489544546</v>
      </c>
      <c r="Q6" s="9">
        <f t="shared" si="3"/>
        <v>287251.3051506732</v>
      </c>
      <c r="R6" s="9">
        <f t="shared" si="3"/>
        <v>272888.73989313951</v>
      </c>
      <c r="S6" s="9">
        <f t="shared" si="3"/>
        <v>259244.30289848254</v>
      </c>
      <c r="T6" s="9">
        <f t="shared" si="3"/>
        <v>246282.08775355839</v>
      </c>
      <c r="U6" s="9">
        <f t="shared" si="3"/>
        <v>233967.98336588044</v>
      </c>
      <c r="V6" s="9">
        <f t="shared" si="3"/>
        <v>222269.5841975864</v>
      </c>
      <c r="W6" s="9">
        <f t="shared" si="3"/>
        <v>211156.10498770708</v>
      </c>
    </row>
    <row r="7" spans="1:23">
      <c r="A7" s="1" t="s">
        <v>124</v>
      </c>
      <c r="B7" s="12">
        <v>1039000</v>
      </c>
      <c r="D7" s="1">
        <f>B7*(83/100)</f>
        <v>862370</v>
      </c>
      <c r="E7" s="1">
        <f>B7*(75.5/100)</f>
        <v>784445</v>
      </c>
      <c r="F7" s="1">
        <f>B7*(69/100)</f>
        <v>716910</v>
      </c>
      <c r="G7" s="1">
        <f>B7*(63.5/100)</f>
        <v>659765</v>
      </c>
      <c r="H7" s="1">
        <f>B7*(58.5/100)</f>
        <v>607815</v>
      </c>
      <c r="I7" s="1">
        <f>$B7*(54/100)</f>
        <v>561060</v>
      </c>
      <c r="J7" s="1">
        <f>B7*(50/100)</f>
        <v>519500</v>
      </c>
      <c r="K7" s="1">
        <f>$B7*(46.5/100)</f>
        <v>483135</v>
      </c>
      <c r="L7" s="1">
        <f>$B7*(43/100)</f>
        <v>446770</v>
      </c>
      <c r="M7" s="1">
        <f>$B7*(40/100)</f>
        <v>415600</v>
      </c>
      <c r="N7" s="1">
        <f>$B7*(37.5/100)</f>
        <v>389625</v>
      </c>
      <c r="O7" s="1">
        <f>$B7*(35/100)</f>
        <v>363650</v>
      </c>
      <c r="P7" s="1">
        <f>$B7*(33/100)</f>
        <v>342870</v>
      </c>
      <c r="Q7" s="1">
        <f>$B7*(31/100)</f>
        <v>322090</v>
      </c>
      <c r="R7" s="1">
        <f>$B7*(29/100)</f>
        <v>301310</v>
      </c>
      <c r="S7" s="1">
        <f>$B7*(27.5/100)</f>
        <v>285725</v>
      </c>
      <c r="T7" s="1">
        <f>$B7*(26/100)</f>
        <v>270140</v>
      </c>
      <c r="U7" s="1">
        <f>$B7*(25/100)</f>
        <v>259750</v>
      </c>
      <c r="V7" s="1">
        <f>$B7*(24/100)</f>
        <v>249360</v>
      </c>
      <c r="W7" s="1">
        <f>$B7*(23/100)</f>
        <v>238970</v>
      </c>
    </row>
    <row r="8" spans="1:23">
      <c r="A8" s="1" t="s">
        <v>30</v>
      </c>
      <c r="B8" s="12">
        <v>1198000</v>
      </c>
      <c r="D8" s="9">
        <f>B8*(85/100)</f>
        <v>1018300</v>
      </c>
      <c r="E8" s="9">
        <f t="shared" ref="E8:H11" si="4">D8*(90/100)</f>
        <v>916470</v>
      </c>
      <c r="F8" s="9">
        <f t="shared" si="4"/>
        <v>824823</v>
      </c>
      <c r="G8" s="9">
        <f t="shared" si="4"/>
        <v>742340.70000000007</v>
      </c>
      <c r="H8" s="9">
        <f t="shared" si="4"/>
        <v>668106.63000000012</v>
      </c>
      <c r="I8" s="9">
        <f t="shared" ref="I8:M11" si="5">H8*(93/100)</f>
        <v>621339.16590000014</v>
      </c>
      <c r="J8" s="9">
        <f t="shared" si="5"/>
        <v>577845.42428700021</v>
      </c>
      <c r="K8" s="9">
        <f t="shared" si="5"/>
        <v>537396.24458691024</v>
      </c>
      <c r="L8" s="9">
        <f t="shared" si="5"/>
        <v>499778.50746582652</v>
      </c>
      <c r="M8" s="9">
        <f t="shared" si="5"/>
        <v>464794.01194321871</v>
      </c>
      <c r="N8" s="9">
        <f t="shared" ref="N8:W8" si="6">M8*(95/100)</f>
        <v>441554.31134605774</v>
      </c>
      <c r="O8" s="9">
        <f t="shared" si="6"/>
        <v>419476.59577875485</v>
      </c>
      <c r="P8" s="9">
        <f t="shared" si="6"/>
        <v>398502.7659898171</v>
      </c>
      <c r="Q8" s="9">
        <f t="shared" si="6"/>
        <v>378577.62769032625</v>
      </c>
      <c r="R8" s="9">
        <f t="shared" si="6"/>
        <v>359648.74630580994</v>
      </c>
      <c r="S8" s="9">
        <f t="shared" si="6"/>
        <v>341666.30899051944</v>
      </c>
      <c r="T8" s="9">
        <f t="shared" si="6"/>
        <v>324582.99354099343</v>
      </c>
      <c r="U8" s="9">
        <f t="shared" si="6"/>
        <v>308353.84386394377</v>
      </c>
      <c r="V8" s="9">
        <f t="shared" si="6"/>
        <v>292936.15167074656</v>
      </c>
      <c r="W8" s="9">
        <f t="shared" si="6"/>
        <v>278289.3440872092</v>
      </c>
    </row>
    <row r="9" spans="1:23">
      <c r="A9" s="1" t="s">
        <v>33</v>
      </c>
      <c r="B9" s="1">
        <v>789000</v>
      </c>
      <c r="D9" s="9">
        <f>B9*(85/100)</f>
        <v>670650</v>
      </c>
      <c r="E9" s="9">
        <f t="shared" si="4"/>
        <v>603585</v>
      </c>
      <c r="F9" s="9">
        <f t="shared" si="4"/>
        <v>543226.5</v>
      </c>
      <c r="G9" s="9">
        <f t="shared" si="4"/>
        <v>488903.85000000003</v>
      </c>
      <c r="H9" s="9">
        <f t="shared" si="4"/>
        <v>440013.46500000003</v>
      </c>
      <c r="I9" s="9">
        <f t="shared" si="5"/>
        <v>409212.52245000005</v>
      </c>
      <c r="J9" s="9">
        <f t="shared" si="5"/>
        <v>380567.64587850007</v>
      </c>
      <c r="K9" s="9">
        <f t="shared" si="5"/>
        <v>353927.91066700511</v>
      </c>
      <c r="L9" s="9">
        <f t="shared" si="5"/>
        <v>329152.95692031475</v>
      </c>
      <c r="M9" s="9">
        <f t="shared" si="5"/>
        <v>306112.24993589276</v>
      </c>
      <c r="N9" s="9">
        <f t="shared" ref="N9:W9" si="7">M9*(95/100)</f>
        <v>290806.63743909809</v>
      </c>
      <c r="O9" s="9">
        <f t="shared" si="7"/>
        <v>276266.30556714319</v>
      </c>
      <c r="P9" s="9">
        <f t="shared" si="7"/>
        <v>262452.99028878601</v>
      </c>
      <c r="Q9" s="9">
        <f t="shared" si="7"/>
        <v>249330.3407743467</v>
      </c>
      <c r="R9" s="9">
        <f t="shared" si="7"/>
        <v>236863.82373562935</v>
      </c>
      <c r="S9" s="9">
        <f t="shared" si="7"/>
        <v>225020.63254884788</v>
      </c>
      <c r="T9" s="9">
        <f t="shared" si="7"/>
        <v>213769.60092140548</v>
      </c>
      <c r="U9" s="9">
        <f t="shared" si="7"/>
        <v>203081.12087533518</v>
      </c>
      <c r="V9" s="9">
        <f t="shared" si="7"/>
        <v>192927.06483156842</v>
      </c>
      <c r="W9" s="9">
        <f t="shared" si="7"/>
        <v>183280.71158998998</v>
      </c>
    </row>
    <row r="10" spans="1:23">
      <c r="A10" s="1" t="s">
        <v>140</v>
      </c>
      <c r="B10" s="12">
        <v>749000</v>
      </c>
      <c r="D10" s="1">
        <f>B10*(84.5/100)</f>
        <v>632905</v>
      </c>
      <c r="E10" s="1">
        <f>B10*(76.5/100)</f>
        <v>572985</v>
      </c>
      <c r="F10" s="1">
        <f>$B10*(69.5/100)</f>
        <v>520554.99999999994</v>
      </c>
      <c r="G10" s="1">
        <f>$B10*(63.5/100)</f>
        <v>475615</v>
      </c>
      <c r="H10" s="1">
        <f>$B10*(58/100)</f>
        <v>434419.99999999994</v>
      </c>
      <c r="I10" s="1">
        <f>$B10*(53/100)</f>
        <v>396970</v>
      </c>
      <c r="J10" s="1">
        <f>$B10*(48.5/100)</f>
        <v>363265</v>
      </c>
      <c r="K10" s="1">
        <f>$B10*(44.5/100)</f>
        <v>333305</v>
      </c>
      <c r="L10" s="1">
        <f>$B10*(41/100)</f>
        <v>307090</v>
      </c>
      <c r="M10" s="1">
        <f>$B10*(34.5/100)</f>
        <v>258404.99999999997</v>
      </c>
      <c r="N10" s="1">
        <f>$B10*(32/100)</f>
        <v>239680</v>
      </c>
      <c r="O10" s="1">
        <f>$B10*(29.5/100)</f>
        <v>220955</v>
      </c>
      <c r="P10" s="1">
        <f>$B10*(27.5/100)</f>
        <v>205975.00000000003</v>
      </c>
      <c r="Q10" s="1">
        <f>$B10*(27.5/100)</f>
        <v>205975.00000000003</v>
      </c>
      <c r="R10" s="1">
        <f>$B10*(25.5/100)</f>
        <v>190995</v>
      </c>
      <c r="S10" s="1">
        <f>$B10*(24/100)</f>
        <v>179760</v>
      </c>
      <c r="T10" s="1">
        <f>$B10*(22.5/100)</f>
        <v>168525</v>
      </c>
      <c r="U10" s="1">
        <f>$B10*(21.5/100)</f>
        <v>161035</v>
      </c>
      <c r="V10" s="1">
        <f>$B10*(20.5/100)</f>
        <v>153545</v>
      </c>
      <c r="W10" s="1">
        <f>$B10*(19.5/100)</f>
        <v>146055</v>
      </c>
    </row>
    <row r="11" spans="1:23">
      <c r="A11" s="1" t="s">
        <v>32</v>
      </c>
      <c r="B11" s="1">
        <v>749000</v>
      </c>
      <c r="D11" s="9">
        <f>B11*(85/100)</f>
        <v>636650</v>
      </c>
      <c r="E11" s="9">
        <f t="shared" si="4"/>
        <v>572985</v>
      </c>
      <c r="F11" s="9">
        <f t="shared" si="4"/>
        <v>515686.5</v>
      </c>
      <c r="G11" s="9">
        <f t="shared" si="4"/>
        <v>464117.85000000003</v>
      </c>
      <c r="H11" s="9">
        <f t="shared" si="4"/>
        <v>417706.06500000006</v>
      </c>
      <c r="I11" s="9">
        <f t="shared" si="5"/>
        <v>388466.64045000006</v>
      </c>
      <c r="J11" s="9">
        <f t="shared" si="5"/>
        <v>361273.97561850009</v>
      </c>
      <c r="K11" s="9">
        <f t="shared" si="5"/>
        <v>335984.79732520512</v>
      </c>
      <c r="L11" s="9">
        <f t="shared" si="5"/>
        <v>312465.86151244078</v>
      </c>
      <c r="M11" s="9">
        <f t="shared" si="5"/>
        <v>290593.25120656996</v>
      </c>
      <c r="N11" s="9">
        <f t="shared" ref="N11:W11" si="8">M11*(95/100)</f>
        <v>276063.58864624146</v>
      </c>
      <c r="O11" s="9">
        <f t="shared" si="8"/>
        <v>262260.40921392938</v>
      </c>
      <c r="P11" s="9">
        <f t="shared" si="8"/>
        <v>249147.3887532329</v>
      </c>
      <c r="Q11" s="9">
        <f t="shared" si="8"/>
        <v>236690.01931557123</v>
      </c>
      <c r="R11" s="9">
        <f t="shared" si="8"/>
        <v>224855.51834979266</v>
      </c>
      <c r="S11" s="9">
        <f t="shared" si="8"/>
        <v>213612.74243230303</v>
      </c>
      <c r="T11" s="9">
        <f t="shared" si="8"/>
        <v>202932.10531068785</v>
      </c>
      <c r="U11" s="9">
        <f t="shared" si="8"/>
        <v>192785.50004515346</v>
      </c>
      <c r="V11" s="9">
        <f t="shared" si="8"/>
        <v>183146.22504289576</v>
      </c>
      <c r="W11" s="9">
        <f t="shared" si="8"/>
        <v>173988.91379075096</v>
      </c>
    </row>
    <row r="12" spans="1:23">
      <c r="A12" s="1" t="s">
        <v>31</v>
      </c>
      <c r="B12" s="1">
        <v>659000</v>
      </c>
      <c r="D12" s="9">
        <f t="shared" si="0"/>
        <v>560150</v>
      </c>
      <c r="E12" s="9">
        <f t="shared" si="1"/>
        <v>504135</v>
      </c>
      <c r="F12" s="9">
        <f t="shared" si="1"/>
        <v>453721.5</v>
      </c>
      <c r="G12" s="9">
        <f t="shared" si="1"/>
        <v>408349.35000000003</v>
      </c>
      <c r="H12" s="9">
        <f t="shared" si="1"/>
        <v>367514.41500000004</v>
      </c>
      <c r="I12" s="9">
        <f t="shared" si="2"/>
        <v>341788.40595000004</v>
      </c>
      <c r="J12" s="9">
        <f t="shared" si="2"/>
        <v>317863.21753350005</v>
      </c>
      <c r="K12" s="9">
        <f t="shared" si="2"/>
        <v>295612.79230615508</v>
      </c>
      <c r="L12" s="9">
        <f t="shared" si="2"/>
        <v>274919.89684472425</v>
      </c>
      <c r="M12" s="9">
        <f t="shared" si="2"/>
        <v>255675.50406559356</v>
      </c>
      <c r="N12" s="9">
        <f t="shared" ref="N12:W12" si="9">M12*(95/100)</f>
        <v>242891.72886231387</v>
      </c>
      <c r="O12" s="9">
        <f t="shared" si="9"/>
        <v>230747.14241919818</v>
      </c>
      <c r="P12" s="9">
        <f t="shared" si="9"/>
        <v>219209.78529823825</v>
      </c>
      <c r="Q12" s="9">
        <f t="shared" si="9"/>
        <v>208249.29603332633</v>
      </c>
      <c r="R12" s="9">
        <f t="shared" si="9"/>
        <v>197836.83123166001</v>
      </c>
      <c r="S12" s="9">
        <f t="shared" si="9"/>
        <v>187944.98967007699</v>
      </c>
      <c r="T12" s="9">
        <f t="shared" si="9"/>
        <v>178547.74018657312</v>
      </c>
      <c r="U12" s="9">
        <f t="shared" si="9"/>
        <v>169620.35317724445</v>
      </c>
      <c r="V12" s="9">
        <f t="shared" si="9"/>
        <v>161139.33551838223</v>
      </c>
      <c r="W12" s="9">
        <f t="shared" si="9"/>
        <v>153082.36874246312</v>
      </c>
    </row>
    <row r="13" spans="1:23">
      <c r="A13" s="1" t="s">
        <v>120</v>
      </c>
      <c r="B13" s="1">
        <v>579900</v>
      </c>
      <c r="D13" s="9">
        <f t="shared" ref="D13:D18" si="10">B13*(80/100)</f>
        <v>463920</v>
      </c>
      <c r="E13" s="9">
        <f t="shared" ref="E13:H18" si="11">D13*(88/100)</f>
        <v>408249.59999999998</v>
      </c>
      <c r="F13" s="9">
        <f t="shared" si="11"/>
        <v>359259.64799999999</v>
      </c>
      <c r="G13" s="9">
        <f t="shared" si="11"/>
        <v>316148.49024000001</v>
      </c>
      <c r="H13" s="9">
        <f t="shared" si="11"/>
        <v>278210.67141120002</v>
      </c>
      <c r="I13" s="9">
        <f t="shared" ref="I13:M18" si="12">H13*(90/100)</f>
        <v>250389.60427008002</v>
      </c>
      <c r="J13" s="9">
        <f t="shared" si="12"/>
        <v>225350.64384307203</v>
      </c>
      <c r="K13" s="9">
        <f t="shared" si="12"/>
        <v>202815.57945876484</v>
      </c>
      <c r="L13" s="9">
        <f t="shared" si="12"/>
        <v>182534.02151288837</v>
      </c>
      <c r="M13" s="9">
        <f t="shared" si="12"/>
        <v>164280.61936159953</v>
      </c>
      <c r="N13" s="9">
        <f t="shared" ref="N13:W13" si="13">M13*(95/100)</f>
        <v>156066.58839351955</v>
      </c>
      <c r="O13" s="9">
        <f t="shared" si="13"/>
        <v>148263.25897384356</v>
      </c>
      <c r="P13" s="9">
        <f t="shared" si="13"/>
        <v>140850.09602515138</v>
      </c>
      <c r="Q13" s="9">
        <f t="shared" si="13"/>
        <v>133807.5912238938</v>
      </c>
      <c r="R13" s="9">
        <f t="shared" si="13"/>
        <v>127117.2116626991</v>
      </c>
      <c r="S13" s="9">
        <f t="shared" si="13"/>
        <v>120761.35107956415</v>
      </c>
      <c r="T13" s="9">
        <f t="shared" si="13"/>
        <v>114723.28352558594</v>
      </c>
      <c r="U13" s="9">
        <f t="shared" si="13"/>
        <v>108987.11934930664</v>
      </c>
      <c r="V13" s="9">
        <f t="shared" si="13"/>
        <v>103537.7633818413</v>
      </c>
      <c r="W13" s="9">
        <f t="shared" si="13"/>
        <v>98360.875212749233</v>
      </c>
    </row>
    <row r="14" spans="1:23">
      <c r="A14" s="1" t="s">
        <v>119</v>
      </c>
      <c r="B14" s="1">
        <v>579900</v>
      </c>
      <c r="D14" s="9">
        <f t="shared" si="10"/>
        <v>463920</v>
      </c>
      <c r="E14" s="9">
        <f t="shared" si="11"/>
        <v>408249.59999999998</v>
      </c>
      <c r="F14" s="9">
        <f t="shared" si="11"/>
        <v>359259.64799999999</v>
      </c>
      <c r="G14" s="9">
        <f t="shared" si="11"/>
        <v>316148.49024000001</v>
      </c>
      <c r="H14" s="9">
        <f t="shared" si="11"/>
        <v>278210.67141120002</v>
      </c>
      <c r="I14" s="9">
        <f t="shared" si="12"/>
        <v>250389.60427008002</v>
      </c>
      <c r="J14" s="9">
        <f t="shared" si="12"/>
        <v>225350.64384307203</v>
      </c>
      <c r="K14" s="9">
        <f t="shared" si="12"/>
        <v>202815.57945876484</v>
      </c>
      <c r="L14" s="9">
        <f t="shared" si="12"/>
        <v>182534.02151288837</v>
      </c>
      <c r="M14" s="9">
        <f t="shared" si="12"/>
        <v>164280.61936159953</v>
      </c>
      <c r="N14" s="9">
        <f t="shared" ref="N14" si="14">M14*(95/100)</f>
        <v>156066.58839351955</v>
      </c>
      <c r="O14" s="9">
        <f t="shared" ref="O14" si="15">N14*(95/100)</f>
        <v>148263.25897384356</v>
      </c>
      <c r="P14" s="9">
        <f t="shared" ref="P14" si="16">O14*(95/100)</f>
        <v>140850.09602515138</v>
      </c>
      <c r="Q14" s="9">
        <f t="shared" ref="Q14" si="17">P14*(95/100)</f>
        <v>133807.5912238938</v>
      </c>
      <c r="R14" s="9">
        <f t="shared" ref="R14" si="18">Q14*(95/100)</f>
        <v>127117.2116626991</v>
      </c>
      <c r="S14" s="9">
        <f t="shared" ref="S14" si="19">R14*(95/100)</f>
        <v>120761.35107956415</v>
      </c>
      <c r="T14" s="9">
        <f t="shared" ref="T14" si="20">S14*(95/100)</f>
        <v>114723.28352558594</v>
      </c>
      <c r="U14" s="9">
        <f t="shared" ref="U14" si="21">T14*(95/100)</f>
        <v>108987.11934930664</v>
      </c>
      <c r="V14" s="9">
        <f t="shared" ref="V14" si="22">U14*(95/100)</f>
        <v>103537.7633818413</v>
      </c>
      <c r="W14" s="9">
        <f t="shared" ref="W14" si="23">V14*(95/100)</f>
        <v>98360.875212749233</v>
      </c>
    </row>
    <row r="15" spans="1:23">
      <c r="A15" s="1" t="s">
        <v>122</v>
      </c>
      <c r="B15" s="1">
        <v>699000</v>
      </c>
      <c r="D15" s="9">
        <f t="shared" si="10"/>
        <v>559200</v>
      </c>
      <c r="E15" s="10">
        <f t="shared" si="11"/>
        <v>492096</v>
      </c>
      <c r="F15" s="10">
        <f t="shared" si="11"/>
        <v>433044.47999999998</v>
      </c>
      <c r="G15" s="10">
        <f t="shared" si="11"/>
        <v>381079.14240000001</v>
      </c>
      <c r="H15" s="10">
        <f t="shared" si="11"/>
        <v>335349.64531200001</v>
      </c>
      <c r="I15" s="10">
        <f t="shared" si="12"/>
        <v>301814.6807808</v>
      </c>
      <c r="J15" s="10">
        <f t="shared" si="12"/>
        <v>271633.21270272002</v>
      </c>
      <c r="K15" s="10">
        <f t="shared" si="12"/>
        <v>244469.89143244803</v>
      </c>
      <c r="L15" s="10">
        <f t="shared" si="12"/>
        <v>220022.90228920322</v>
      </c>
      <c r="M15" s="10">
        <f t="shared" si="12"/>
        <v>198020.6120602829</v>
      </c>
      <c r="N15" s="10">
        <f t="shared" ref="N15:W15" si="24">M15*(95/100)</f>
        <v>188119.58145726874</v>
      </c>
      <c r="O15" s="10">
        <f t="shared" si="24"/>
        <v>178713.6023844053</v>
      </c>
      <c r="P15" s="10">
        <f t="shared" si="24"/>
        <v>169777.92226518501</v>
      </c>
      <c r="Q15" s="10">
        <f t="shared" si="24"/>
        <v>161289.02615192576</v>
      </c>
      <c r="R15" s="10">
        <f t="shared" si="24"/>
        <v>153224.57484432947</v>
      </c>
      <c r="S15" s="10">
        <f t="shared" si="24"/>
        <v>145563.34610211299</v>
      </c>
      <c r="T15" s="10">
        <f t="shared" si="24"/>
        <v>138285.17879700733</v>
      </c>
      <c r="U15" s="10">
        <f t="shared" si="24"/>
        <v>131370.91985715696</v>
      </c>
      <c r="V15" s="10">
        <f t="shared" si="24"/>
        <v>124802.37386429911</v>
      </c>
      <c r="W15" s="10">
        <f t="shared" si="24"/>
        <v>118562.25517108415</v>
      </c>
    </row>
    <row r="16" spans="1:23">
      <c r="A16" s="1" t="s">
        <v>121</v>
      </c>
      <c r="B16" s="1">
        <v>699000</v>
      </c>
      <c r="D16" s="9">
        <f t="shared" si="10"/>
        <v>559200</v>
      </c>
      <c r="E16" s="10">
        <f t="shared" si="11"/>
        <v>492096</v>
      </c>
      <c r="F16" s="10">
        <f t="shared" si="11"/>
        <v>433044.47999999998</v>
      </c>
      <c r="G16" s="10">
        <f t="shared" si="11"/>
        <v>381079.14240000001</v>
      </c>
      <c r="H16" s="10">
        <f t="shared" si="11"/>
        <v>335349.64531200001</v>
      </c>
      <c r="I16" s="10">
        <f t="shared" si="12"/>
        <v>301814.6807808</v>
      </c>
      <c r="J16" s="10">
        <f t="shared" si="12"/>
        <v>271633.21270272002</v>
      </c>
      <c r="K16" s="10">
        <f t="shared" si="12"/>
        <v>244469.89143244803</v>
      </c>
      <c r="L16" s="10">
        <f t="shared" si="12"/>
        <v>220022.90228920322</v>
      </c>
      <c r="M16" s="10">
        <f t="shared" si="12"/>
        <v>198020.6120602829</v>
      </c>
      <c r="N16" s="10">
        <f t="shared" ref="N16" si="25">M16*(95/100)</f>
        <v>188119.58145726874</v>
      </c>
      <c r="O16" s="10">
        <f t="shared" ref="O16" si="26">N16*(95/100)</f>
        <v>178713.6023844053</v>
      </c>
      <c r="P16" s="10">
        <f t="shared" ref="P16" si="27">O16*(95/100)</f>
        <v>169777.92226518501</v>
      </c>
      <c r="Q16" s="10">
        <f t="shared" ref="Q16" si="28">P16*(95/100)</f>
        <v>161289.02615192576</v>
      </c>
      <c r="R16" s="10">
        <f t="shared" ref="R16" si="29">Q16*(95/100)</f>
        <v>153224.57484432947</v>
      </c>
      <c r="S16" s="10">
        <f t="shared" ref="S16" si="30">R16*(95/100)</f>
        <v>145563.34610211299</v>
      </c>
      <c r="T16" s="10">
        <f t="shared" ref="T16" si="31">S16*(95/100)</f>
        <v>138285.17879700733</v>
      </c>
      <c r="U16" s="10">
        <f t="shared" ref="U16" si="32">T16*(95/100)</f>
        <v>131370.91985715696</v>
      </c>
      <c r="V16" s="10">
        <f t="shared" ref="V16" si="33">U16*(95/100)</f>
        <v>124802.37386429911</v>
      </c>
      <c r="W16" s="10">
        <f t="shared" ref="W16" si="34">V16*(95/100)</f>
        <v>118562.25517108415</v>
      </c>
    </row>
    <row r="17" spans="1:23">
      <c r="A17" s="1" t="s">
        <v>118</v>
      </c>
      <c r="B17" s="1">
        <v>799000</v>
      </c>
      <c r="D17" s="9">
        <f t="shared" si="10"/>
        <v>639200</v>
      </c>
      <c r="E17" s="9">
        <f t="shared" si="11"/>
        <v>562496</v>
      </c>
      <c r="F17" s="9">
        <f t="shared" si="11"/>
        <v>494996.47999999998</v>
      </c>
      <c r="G17" s="9">
        <f t="shared" si="11"/>
        <v>435596.90239999996</v>
      </c>
      <c r="H17" s="9">
        <f t="shared" si="11"/>
        <v>383325.27411199996</v>
      </c>
      <c r="I17" s="9">
        <f t="shared" si="12"/>
        <v>344992.74670079997</v>
      </c>
      <c r="J17" s="9">
        <f t="shared" si="12"/>
        <v>310493.47203071998</v>
      </c>
      <c r="K17" s="9">
        <f t="shared" si="12"/>
        <v>279444.12482764799</v>
      </c>
      <c r="L17" s="9">
        <f t="shared" si="12"/>
        <v>251499.71234488318</v>
      </c>
      <c r="M17" s="9">
        <f t="shared" si="12"/>
        <v>226349.74111039488</v>
      </c>
      <c r="N17" s="9">
        <f t="shared" ref="N17:W17" si="35">M17*(95/100)</f>
        <v>215032.25405487514</v>
      </c>
      <c r="O17" s="9">
        <f t="shared" si="35"/>
        <v>204280.64135213138</v>
      </c>
      <c r="P17" s="9">
        <f t="shared" si="35"/>
        <v>194066.60928452481</v>
      </c>
      <c r="Q17" s="9">
        <f t="shared" si="35"/>
        <v>184363.27882029855</v>
      </c>
      <c r="R17" s="9">
        <f t="shared" si="35"/>
        <v>175145.11487928362</v>
      </c>
      <c r="S17" s="9">
        <f t="shared" si="35"/>
        <v>166387.85913531942</v>
      </c>
      <c r="T17" s="9">
        <f t="shared" si="35"/>
        <v>158068.46617855344</v>
      </c>
      <c r="U17" s="9">
        <f t="shared" si="35"/>
        <v>150165.04286962576</v>
      </c>
      <c r="V17" s="9">
        <f t="shared" si="35"/>
        <v>142656.79072614448</v>
      </c>
      <c r="W17" s="9">
        <f t="shared" si="35"/>
        <v>135523.95118983724</v>
      </c>
    </row>
    <row r="18" spans="1:23">
      <c r="A18" s="1" t="s">
        <v>123</v>
      </c>
      <c r="B18" s="1">
        <v>799000</v>
      </c>
      <c r="D18" s="9">
        <f t="shared" si="10"/>
        <v>639200</v>
      </c>
      <c r="E18" s="9">
        <f t="shared" si="11"/>
        <v>562496</v>
      </c>
      <c r="F18" s="9">
        <f t="shared" si="11"/>
        <v>494996.47999999998</v>
      </c>
      <c r="G18" s="9">
        <f t="shared" si="11"/>
        <v>435596.90239999996</v>
      </c>
      <c r="H18" s="9">
        <f t="shared" si="11"/>
        <v>383325.27411199996</v>
      </c>
      <c r="I18" s="9">
        <f t="shared" si="12"/>
        <v>344992.74670079997</v>
      </c>
      <c r="J18" s="9">
        <f t="shared" si="12"/>
        <v>310493.47203071998</v>
      </c>
      <c r="K18" s="9">
        <f t="shared" si="12"/>
        <v>279444.12482764799</v>
      </c>
      <c r="L18" s="9">
        <f t="shared" si="12"/>
        <v>251499.71234488318</v>
      </c>
      <c r="M18" s="9">
        <f t="shared" si="12"/>
        <v>226349.74111039488</v>
      </c>
      <c r="N18" s="9">
        <f t="shared" ref="N18:N21" si="36">M18*(95/100)</f>
        <v>215032.25405487514</v>
      </c>
      <c r="O18" s="9">
        <f t="shared" ref="O18:O21" si="37">N18*(95/100)</f>
        <v>204280.64135213138</v>
      </c>
      <c r="P18" s="9">
        <f t="shared" ref="P18:P21" si="38">O18*(95/100)</f>
        <v>194066.60928452481</v>
      </c>
      <c r="Q18" s="9">
        <f t="shared" ref="Q18:Q21" si="39">P18*(95/100)</f>
        <v>184363.27882029855</v>
      </c>
      <c r="R18" s="9">
        <f t="shared" ref="R18:R21" si="40">Q18*(95/100)</f>
        <v>175145.11487928362</v>
      </c>
      <c r="S18" s="9">
        <f t="shared" ref="S18:S21" si="41">R18*(95/100)</f>
        <v>166387.85913531942</v>
      </c>
      <c r="T18" s="9">
        <f t="shared" ref="T18:T21" si="42">S18*(95/100)</f>
        <v>158068.46617855344</v>
      </c>
      <c r="U18" s="9">
        <f t="shared" ref="U18:U21" si="43">T18*(95/100)</f>
        <v>150165.04286962576</v>
      </c>
      <c r="V18" s="9">
        <f t="shared" ref="V18:V21" si="44">U18*(95/100)</f>
        <v>142656.79072614448</v>
      </c>
      <c r="W18" s="9">
        <f t="shared" ref="W18:W21" si="45">V18*(95/100)</f>
        <v>135523.95118983724</v>
      </c>
    </row>
    <row r="19" spans="1:23" hidden="1">
      <c r="A19" s="1" t="s">
        <v>128</v>
      </c>
      <c r="B19" s="1">
        <v>799000</v>
      </c>
      <c r="D19" s="9">
        <f>B19*(85/100)</f>
        <v>679150</v>
      </c>
      <c r="E19" s="9">
        <f>D19*(90/100)</f>
        <v>611235</v>
      </c>
      <c r="F19" s="9">
        <f>E19*(90/100)</f>
        <v>550111.5</v>
      </c>
      <c r="G19" s="9">
        <f>F19*(90/100)</f>
        <v>495100.35000000003</v>
      </c>
      <c r="H19" s="9">
        <f>G19*(90/100)</f>
        <v>445590.31500000006</v>
      </c>
      <c r="I19" s="9">
        <f>H19*(93/100)</f>
        <v>414398.9929500001</v>
      </c>
      <c r="J19" s="9">
        <f>I19*(93/100)</f>
        <v>385391.06344350014</v>
      </c>
      <c r="K19" s="9">
        <f>J19*(93/100)</f>
        <v>358413.68900245515</v>
      </c>
      <c r="L19" s="9">
        <f>K19*(93/100)</f>
        <v>333324.73077228334</v>
      </c>
      <c r="M19" s="9">
        <f>L19*(93/100)</f>
        <v>309991.99961822352</v>
      </c>
      <c r="N19" s="9">
        <f t="shared" si="36"/>
        <v>294492.39963731234</v>
      </c>
      <c r="O19" s="9">
        <f t="shared" si="37"/>
        <v>279767.77965544671</v>
      </c>
      <c r="P19" s="9">
        <f t="shared" si="38"/>
        <v>265779.39067267434</v>
      </c>
      <c r="Q19" s="9">
        <f t="shared" si="39"/>
        <v>252490.42113904061</v>
      </c>
      <c r="R19" s="9">
        <f t="shared" si="40"/>
        <v>239865.90008208857</v>
      </c>
      <c r="S19" s="9">
        <f t="shared" si="41"/>
        <v>227872.60507798413</v>
      </c>
      <c r="T19" s="9">
        <f t="shared" si="42"/>
        <v>216478.97482408493</v>
      </c>
      <c r="U19" s="9">
        <f t="shared" si="43"/>
        <v>205655.02608288068</v>
      </c>
      <c r="V19" s="9">
        <f t="shared" si="44"/>
        <v>195372.27477873664</v>
      </c>
      <c r="W19" s="9">
        <f t="shared" si="45"/>
        <v>185603.6610397998</v>
      </c>
    </row>
    <row r="20" spans="1:23" hidden="1">
      <c r="A20" s="1" t="s">
        <v>117</v>
      </c>
      <c r="B20" s="1">
        <v>799000</v>
      </c>
      <c r="D20" s="9">
        <f>B20*(85/100)</f>
        <v>679150</v>
      </c>
      <c r="E20" s="9">
        <f t="shared" ref="E20:E21" si="46">D20*(90/100)</f>
        <v>611235</v>
      </c>
      <c r="F20" s="9">
        <f t="shared" ref="F20:F21" si="47">E20*(90/100)</f>
        <v>550111.5</v>
      </c>
      <c r="G20" s="9">
        <f t="shared" ref="G20:G21" si="48">F20*(90/100)</f>
        <v>495100.35000000003</v>
      </c>
      <c r="H20" s="9">
        <f t="shared" ref="H20:H21" si="49">G20*(90/100)</f>
        <v>445590.31500000006</v>
      </c>
      <c r="I20" s="9">
        <f t="shared" ref="I20:I21" si="50">H20*(93/100)</f>
        <v>414398.9929500001</v>
      </c>
      <c r="J20" s="9">
        <f t="shared" ref="J20:J21" si="51">I20*(93/100)</f>
        <v>385391.06344350014</v>
      </c>
      <c r="K20" s="9">
        <f t="shared" ref="K20:K21" si="52">J20*(93/100)</f>
        <v>358413.68900245515</v>
      </c>
      <c r="L20" s="9">
        <f t="shared" ref="L20:L21" si="53">K20*(93/100)</f>
        <v>333324.73077228334</v>
      </c>
      <c r="M20" s="9">
        <f t="shared" ref="M20:M21" si="54">L20*(93/100)</f>
        <v>309991.99961822352</v>
      </c>
      <c r="N20" s="9">
        <f t="shared" si="36"/>
        <v>294492.39963731234</v>
      </c>
      <c r="O20" s="9">
        <f t="shared" si="37"/>
        <v>279767.77965544671</v>
      </c>
      <c r="P20" s="9">
        <f t="shared" si="38"/>
        <v>265779.39067267434</v>
      </c>
      <c r="Q20" s="9">
        <f t="shared" si="39"/>
        <v>252490.42113904061</v>
      </c>
      <c r="R20" s="9">
        <f t="shared" si="40"/>
        <v>239865.90008208857</v>
      </c>
      <c r="S20" s="9">
        <f t="shared" si="41"/>
        <v>227872.60507798413</v>
      </c>
      <c r="T20" s="9">
        <f t="shared" si="42"/>
        <v>216478.97482408493</v>
      </c>
      <c r="U20" s="9">
        <f t="shared" si="43"/>
        <v>205655.02608288068</v>
      </c>
      <c r="V20" s="9">
        <f t="shared" si="44"/>
        <v>195372.27477873664</v>
      </c>
      <c r="W20" s="9">
        <f t="shared" si="45"/>
        <v>185603.6610397998</v>
      </c>
    </row>
    <row r="21" spans="1:23" hidden="1">
      <c r="A21" s="1" t="s">
        <v>29</v>
      </c>
      <c r="B21" s="1">
        <v>799000</v>
      </c>
      <c r="D21" s="9">
        <f>B21*(85/100)</f>
        <v>679150</v>
      </c>
      <c r="E21" s="9">
        <f t="shared" si="46"/>
        <v>611235</v>
      </c>
      <c r="F21" s="9">
        <f t="shared" si="47"/>
        <v>550111.5</v>
      </c>
      <c r="G21" s="9">
        <f t="shared" si="48"/>
        <v>495100.35000000003</v>
      </c>
      <c r="H21" s="9">
        <f t="shared" si="49"/>
        <v>445590.31500000006</v>
      </c>
      <c r="I21" s="9">
        <f t="shared" si="50"/>
        <v>414398.9929500001</v>
      </c>
      <c r="J21" s="9">
        <f t="shared" si="51"/>
        <v>385391.06344350014</v>
      </c>
      <c r="K21" s="9">
        <f t="shared" si="52"/>
        <v>358413.68900245515</v>
      </c>
      <c r="L21" s="9">
        <f t="shared" si="53"/>
        <v>333324.73077228334</v>
      </c>
      <c r="M21" s="9">
        <f t="shared" si="54"/>
        <v>309991.99961822352</v>
      </c>
      <c r="N21" s="9">
        <f t="shared" si="36"/>
        <v>294492.39963731234</v>
      </c>
      <c r="O21" s="9">
        <f t="shared" si="37"/>
        <v>279767.77965544671</v>
      </c>
      <c r="P21" s="9">
        <f t="shared" si="38"/>
        <v>265779.39067267434</v>
      </c>
      <c r="Q21" s="9">
        <f t="shared" si="39"/>
        <v>252490.42113904061</v>
      </c>
      <c r="R21" s="9">
        <f t="shared" si="40"/>
        <v>239865.90008208857</v>
      </c>
      <c r="S21" s="9">
        <f t="shared" si="41"/>
        <v>227872.60507798413</v>
      </c>
      <c r="T21" s="9">
        <f t="shared" si="42"/>
        <v>216478.97482408493</v>
      </c>
      <c r="U21" s="9">
        <f t="shared" si="43"/>
        <v>205655.02608288068</v>
      </c>
      <c r="V21" s="9">
        <f t="shared" si="44"/>
        <v>195372.27477873664</v>
      </c>
      <c r="W21" s="9">
        <f t="shared" si="45"/>
        <v>185603.6610397998</v>
      </c>
    </row>
    <row r="22" spans="1:23">
      <c r="B22" s="12"/>
    </row>
  </sheetData>
  <phoneticPr fontId="3" type="noConversion"/>
  <pageMargins left="0.7" right="0.7" top="0.75" bottom="0.75" header="0.3" footer="0.3"/>
  <pageSetup paperSize="9" orientation="portrait" r:id="rId1"/>
  <ignoredErrors>
    <ignoredError sqref="D7:E7 F7:J7 K7:W7 D10:W10" formula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E5269E-4009-42A2-BF8F-62ED10246A25}">
  <dimension ref="A1:D28"/>
  <sheetViews>
    <sheetView topLeftCell="A4" zoomScale="90" zoomScaleNormal="90" workbookViewId="0">
      <selection activeCell="B10" sqref="B10"/>
    </sheetView>
  </sheetViews>
  <sheetFormatPr defaultRowHeight="21.6" customHeight="1"/>
  <cols>
    <col min="1" max="1" width="44.44140625" customWidth="1"/>
    <col min="2" max="2" width="23.5546875" customWidth="1"/>
    <col min="3" max="3" width="22.109375" style="1" customWidth="1"/>
    <col min="4" max="4" width="8.88671875" style="1"/>
  </cols>
  <sheetData>
    <row r="1" spans="1:4" ht="21.6" customHeight="1">
      <c r="B1" t="str">
        <f>ตารางคำนวน!H2</f>
        <v>ราคาน้ำมันดีเซล</v>
      </c>
      <c r="C1">
        <f>ตารางคำนวน!I2</f>
        <v>42.2</v>
      </c>
      <c r="D1" t="str">
        <f>ตารางคำนวน!J2</f>
        <v>บาท/ลิตร</v>
      </c>
    </row>
    <row r="2" spans="1:4" ht="21.6" customHeight="1">
      <c r="B2" t="str">
        <f>ตารางคำนวน!H3</f>
        <v>ราคาน้ำมันเบนซิน</v>
      </c>
      <c r="C2">
        <f>ตารางคำนวน!I3</f>
        <v>44.9</v>
      </c>
      <c r="D2" t="str">
        <f>ตารางคำนวน!J3</f>
        <v>บาท/ลิตร</v>
      </c>
    </row>
    <row r="3" spans="1:4" ht="21.6" customHeight="1">
      <c r="B3" t="str">
        <f>ตารางคำนวน!H4</f>
        <v>ราคาไฟฟ้า</v>
      </c>
      <c r="C3">
        <f>ตารางคำนวน!I4</f>
        <v>4.2</v>
      </c>
      <c r="D3" t="str">
        <f>ตารางคำนวน!J4</f>
        <v>บาท/หน่วย</v>
      </c>
    </row>
    <row r="5" spans="1:4" ht="21.6" customHeight="1">
      <c r="A5" s="1"/>
      <c r="B5" s="1" t="s">
        <v>26</v>
      </c>
      <c r="C5" s="1" t="s">
        <v>27</v>
      </c>
    </row>
    <row r="6" spans="1:4" ht="21.6" customHeight="1">
      <c r="A6" s="1" t="s">
        <v>0</v>
      </c>
      <c r="B6" s="1"/>
    </row>
    <row r="7" spans="1:4" ht="21.6" customHeight="1">
      <c r="A7" s="1" t="s">
        <v>126</v>
      </c>
      <c r="B7" s="48">
        <v>14.5</v>
      </c>
      <c r="C7" s="47">
        <f>$C$2/B7</f>
        <v>3.0965517241379308</v>
      </c>
    </row>
    <row r="8" spans="1:4" ht="21.6" customHeight="1">
      <c r="A8" s="1" t="s">
        <v>28</v>
      </c>
      <c r="B8" s="48">
        <v>16.5</v>
      </c>
      <c r="C8" s="47">
        <f t="shared" ref="C8:C14" si="0">$C$2/B8</f>
        <v>2.7212121212121212</v>
      </c>
    </row>
    <row r="9" spans="1:4" ht="21.6" customHeight="1">
      <c r="A9" s="1" t="s">
        <v>124</v>
      </c>
      <c r="B9" s="48">
        <v>15.5</v>
      </c>
      <c r="C9" s="47">
        <f t="shared" si="0"/>
        <v>2.8967741935483868</v>
      </c>
    </row>
    <row r="10" spans="1:4" ht="21.6" customHeight="1">
      <c r="A10" s="1" t="s">
        <v>30</v>
      </c>
      <c r="B10" s="48">
        <v>15</v>
      </c>
      <c r="C10" s="47">
        <f t="shared" si="0"/>
        <v>2.9933333333333332</v>
      </c>
    </row>
    <row r="11" spans="1:4" ht="21.6" customHeight="1">
      <c r="A11" s="1" t="s">
        <v>33</v>
      </c>
      <c r="B11" s="48">
        <v>15.5</v>
      </c>
      <c r="C11" s="47">
        <f t="shared" si="0"/>
        <v>2.8967741935483868</v>
      </c>
    </row>
    <row r="12" spans="1:4" ht="21.6" customHeight="1">
      <c r="A12" s="1" t="s">
        <v>125</v>
      </c>
      <c r="B12" s="48">
        <v>17</v>
      </c>
      <c r="C12" s="47">
        <f t="shared" si="0"/>
        <v>2.6411764705882352</v>
      </c>
    </row>
    <row r="13" spans="1:4" ht="21.6" customHeight="1">
      <c r="A13" s="1" t="s">
        <v>32</v>
      </c>
      <c r="B13" s="48">
        <v>25.1</v>
      </c>
      <c r="C13" s="47">
        <f>$C$1/B13</f>
        <v>1.6812749003984064</v>
      </c>
    </row>
    <row r="14" spans="1:4" ht="21.6" customHeight="1">
      <c r="A14" s="1" t="s">
        <v>31</v>
      </c>
      <c r="B14" s="48">
        <v>19</v>
      </c>
      <c r="C14" s="47">
        <f t="shared" si="0"/>
        <v>2.3631578947368421</v>
      </c>
    </row>
    <row r="15" spans="1:4" ht="21.6" customHeight="1">
      <c r="A15" s="1" t="s">
        <v>120</v>
      </c>
      <c r="B15" s="48">
        <v>6.5</v>
      </c>
      <c r="C15" s="47">
        <f>$C$3/B15</f>
        <v>0.64615384615384619</v>
      </c>
    </row>
    <row r="16" spans="1:4" ht="21.6" customHeight="1">
      <c r="A16" s="1" t="s">
        <v>119</v>
      </c>
      <c r="B16" s="48">
        <v>6.5</v>
      </c>
      <c r="C16" s="47">
        <f t="shared" ref="C16:C20" si="1">$C$3/B16</f>
        <v>0.64615384615384619</v>
      </c>
    </row>
    <row r="17" spans="1:4" ht="21.6" customHeight="1">
      <c r="A17" s="1" t="s">
        <v>122</v>
      </c>
      <c r="B17" s="48">
        <v>5.5</v>
      </c>
      <c r="C17" s="47">
        <f t="shared" si="1"/>
        <v>0.76363636363636367</v>
      </c>
    </row>
    <row r="18" spans="1:4" ht="21.6" customHeight="1">
      <c r="A18" s="1" t="s">
        <v>121</v>
      </c>
      <c r="B18" s="48">
        <v>5.5</v>
      </c>
      <c r="C18" s="47">
        <f t="shared" si="1"/>
        <v>0.76363636363636367</v>
      </c>
    </row>
    <row r="19" spans="1:4" ht="21.6" customHeight="1">
      <c r="A19" s="1" t="s">
        <v>118</v>
      </c>
      <c r="B19" s="48">
        <v>5.6</v>
      </c>
      <c r="C19" s="1">
        <f t="shared" si="1"/>
        <v>0.75000000000000011</v>
      </c>
    </row>
    <row r="20" spans="1:4" ht="21.6" customHeight="1">
      <c r="A20" s="1" t="s">
        <v>123</v>
      </c>
      <c r="B20" s="48">
        <v>5.6</v>
      </c>
      <c r="C20" s="1">
        <f t="shared" si="1"/>
        <v>0.75000000000000011</v>
      </c>
    </row>
    <row r="21" spans="1:4" ht="21.6" customHeight="1">
      <c r="C21"/>
      <c r="D21"/>
    </row>
    <row r="22" spans="1:4" ht="21.6" customHeight="1">
      <c r="C22"/>
      <c r="D22"/>
    </row>
    <row r="23" spans="1:4" ht="21.6" customHeight="1">
      <c r="C23"/>
      <c r="D23"/>
    </row>
    <row r="24" spans="1:4" ht="21.6" customHeight="1">
      <c r="C24"/>
      <c r="D24"/>
    </row>
    <row r="25" spans="1:4" ht="21.6" customHeight="1">
      <c r="C25"/>
      <c r="D25"/>
    </row>
    <row r="26" spans="1:4" ht="21.6" customHeight="1">
      <c r="C26"/>
      <c r="D26"/>
    </row>
    <row r="27" spans="1:4" ht="21.6" customHeight="1">
      <c r="C27"/>
      <c r="D27"/>
    </row>
    <row r="28" spans="1:4" ht="21.6" customHeight="1">
      <c r="C28"/>
      <c r="D28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EE2B2-F173-42FF-AAB6-326F63316EC6}">
  <dimension ref="A2:AO21"/>
  <sheetViews>
    <sheetView zoomScale="80" zoomScaleNormal="80" workbookViewId="0">
      <selection activeCell="F20" sqref="F20"/>
    </sheetView>
  </sheetViews>
  <sheetFormatPr defaultColWidth="8.88671875" defaultRowHeight="24.6"/>
  <cols>
    <col min="1" max="1" width="45.5546875" style="13" customWidth="1"/>
    <col min="2" max="40" width="9.6640625" style="13" customWidth="1"/>
    <col min="41" max="41" width="9.44140625" style="1" bestFit="1" customWidth="1"/>
    <col min="42" max="16384" width="8.88671875" style="13"/>
  </cols>
  <sheetData>
    <row r="2" spans="1:41">
      <c r="A2" s="1"/>
      <c r="B2" s="62" t="s">
        <v>66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  <c r="V2" s="62"/>
      <c r="W2" s="62"/>
      <c r="X2" s="62"/>
      <c r="Y2" s="62"/>
      <c r="Z2" s="62"/>
      <c r="AA2" s="62"/>
      <c r="AB2" s="62"/>
      <c r="AC2" s="62"/>
      <c r="AD2" s="62"/>
      <c r="AE2" s="62"/>
      <c r="AF2" s="62"/>
      <c r="AG2" s="62"/>
      <c r="AH2" s="62"/>
      <c r="AI2" s="62"/>
      <c r="AJ2" s="62"/>
      <c r="AK2" s="62"/>
      <c r="AL2" s="62"/>
      <c r="AM2" s="62"/>
      <c r="AN2" s="62"/>
    </row>
    <row r="3" spans="1:41">
      <c r="A3" s="1"/>
      <c r="B3" s="2" t="s">
        <v>3</v>
      </c>
      <c r="C3" s="2" t="s">
        <v>34</v>
      </c>
      <c r="D3" s="2" t="s">
        <v>4</v>
      </c>
      <c r="E3" s="2" t="s">
        <v>34</v>
      </c>
      <c r="F3" s="2" t="s">
        <v>5</v>
      </c>
      <c r="G3" s="2" t="s">
        <v>34</v>
      </c>
      <c r="H3" s="2" t="s">
        <v>6</v>
      </c>
      <c r="I3" s="2" t="s">
        <v>34</v>
      </c>
      <c r="J3" s="2" t="s">
        <v>7</v>
      </c>
      <c r="K3" s="2" t="s">
        <v>34</v>
      </c>
      <c r="L3" s="2" t="s">
        <v>8</v>
      </c>
      <c r="M3" s="2" t="s">
        <v>34</v>
      </c>
      <c r="N3" s="2" t="s">
        <v>9</v>
      </c>
      <c r="O3" s="2" t="s">
        <v>34</v>
      </c>
      <c r="P3" s="2" t="s">
        <v>10</v>
      </c>
      <c r="Q3" s="2" t="s">
        <v>34</v>
      </c>
      <c r="R3" s="2" t="s">
        <v>11</v>
      </c>
      <c r="S3" s="2" t="s">
        <v>34</v>
      </c>
      <c r="T3" s="2" t="s">
        <v>12</v>
      </c>
      <c r="U3" s="2" t="s">
        <v>34</v>
      </c>
      <c r="V3" s="2" t="s">
        <v>13</v>
      </c>
      <c r="W3" s="2" t="s">
        <v>34</v>
      </c>
      <c r="X3" s="2" t="s">
        <v>14</v>
      </c>
      <c r="Y3" s="2" t="s">
        <v>34</v>
      </c>
      <c r="Z3" s="2" t="s">
        <v>15</v>
      </c>
      <c r="AA3" s="2" t="s">
        <v>34</v>
      </c>
      <c r="AB3" s="2" t="s">
        <v>16</v>
      </c>
      <c r="AC3" s="2" t="s">
        <v>34</v>
      </c>
      <c r="AD3" s="2" t="s">
        <v>17</v>
      </c>
      <c r="AE3" s="2" t="s">
        <v>34</v>
      </c>
      <c r="AF3" s="2" t="s">
        <v>18</v>
      </c>
      <c r="AG3" s="2" t="s">
        <v>34</v>
      </c>
      <c r="AH3" s="2" t="s">
        <v>19</v>
      </c>
      <c r="AI3" s="2" t="s">
        <v>34</v>
      </c>
      <c r="AJ3" s="2" t="s">
        <v>20</v>
      </c>
      <c r="AK3" s="2" t="s">
        <v>34</v>
      </c>
      <c r="AL3" s="2" t="s">
        <v>21</v>
      </c>
      <c r="AM3" s="2" t="s">
        <v>34</v>
      </c>
      <c r="AN3" s="2" t="s">
        <v>22</v>
      </c>
      <c r="AO3" s="2" t="s">
        <v>34</v>
      </c>
    </row>
    <row r="4" spans="1:41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2"/>
      <c r="AE4" s="2"/>
      <c r="AF4" s="2"/>
      <c r="AG4" s="2"/>
      <c r="AH4" s="2"/>
      <c r="AI4" s="2"/>
      <c r="AJ4" s="2"/>
      <c r="AK4" s="2"/>
      <c r="AL4" s="2"/>
      <c r="AM4" s="2"/>
      <c r="AN4" s="2"/>
    </row>
    <row r="5" spans="1:41">
      <c r="A5" s="1" t="s">
        <v>126</v>
      </c>
      <c r="B5" s="1">
        <v>3474</v>
      </c>
      <c r="C5" s="1">
        <f t="shared" ref="C5" si="0">B5</f>
        <v>3474</v>
      </c>
      <c r="D5" s="1">
        <v>3474</v>
      </c>
      <c r="E5" s="1">
        <f t="shared" ref="E5" si="1">B5+D5</f>
        <v>6948</v>
      </c>
      <c r="F5" s="1">
        <v>3474</v>
      </c>
      <c r="G5" s="1">
        <f t="shared" ref="G5" si="2">B5+D5+F5</f>
        <v>10422</v>
      </c>
      <c r="H5" s="1">
        <v>3474</v>
      </c>
      <c r="I5" s="1">
        <f t="shared" ref="I5" si="3">B5+D5+F5+H5</f>
        <v>13896</v>
      </c>
      <c r="J5" s="1">
        <v>3474</v>
      </c>
      <c r="K5" s="1">
        <f t="shared" ref="K5" si="4">B5+D5+F5+H5+J5</f>
        <v>17370</v>
      </c>
      <c r="L5" s="1">
        <v>3126.6</v>
      </c>
      <c r="M5" s="1">
        <f t="shared" ref="M5" si="5">B5+D5+F5+H5+J5+L5</f>
        <v>20496.599999999999</v>
      </c>
      <c r="N5" s="1">
        <v>2779.2</v>
      </c>
      <c r="O5" s="1">
        <f t="shared" ref="O5" si="6">B5+D5+F5+H5+J5+L5+N5</f>
        <v>23275.8</v>
      </c>
      <c r="P5" s="1">
        <v>2431.8000000000002</v>
      </c>
      <c r="Q5" s="1">
        <f t="shared" ref="Q5" si="7">B5+D5+F5+H5+J5+L5+N5+P5</f>
        <v>25707.599999999999</v>
      </c>
      <c r="R5" s="1">
        <v>2084.4</v>
      </c>
      <c r="S5" s="1">
        <f t="shared" ref="S5" si="8">B5+D5+F5+H5+J5+L5+N5+P5+R5</f>
        <v>27792</v>
      </c>
      <c r="T5" s="1">
        <v>1737</v>
      </c>
      <c r="U5" s="1">
        <f t="shared" ref="U5" si="9">B5+D5+F5+H5+J5+L5+N5+P5+R5+T5</f>
        <v>29529</v>
      </c>
      <c r="V5" s="1">
        <v>1737</v>
      </c>
      <c r="W5" s="1">
        <f t="shared" ref="W5" si="10">B5+D5+F5+H5+J5+L5+N5+P5+R5+T5+V5</f>
        <v>31266</v>
      </c>
      <c r="X5" s="1">
        <v>1737</v>
      </c>
      <c r="Y5" s="1">
        <f t="shared" ref="Y5" si="11">B5+D5+F5+H5+J5+L5+N5+P5+R5+T5+V5+X5</f>
        <v>33003</v>
      </c>
      <c r="Z5" s="1">
        <v>1737</v>
      </c>
      <c r="AA5" s="1">
        <f t="shared" ref="AA5" si="12">B5+D5+F5+H5+J5+L5+N5+P5+R5+T5+V5+X5+Z5</f>
        <v>34740</v>
      </c>
      <c r="AB5" s="1">
        <v>1737</v>
      </c>
      <c r="AC5" s="1">
        <f>B5+D5+F5+H5+J5+L5+N5+P5+R5+T5+V5+X5+Z5+AB5</f>
        <v>36477</v>
      </c>
      <c r="AD5" s="1">
        <v>1737</v>
      </c>
      <c r="AE5" s="1">
        <f t="shared" ref="AE5" si="13">B5+D5+F5+H5+J5+L5+N5+P5+R5+T5+V5+X5+Z5+AB5+AD5</f>
        <v>38214</v>
      </c>
      <c r="AF5" s="1">
        <v>1737</v>
      </c>
      <c r="AG5" s="1">
        <f t="shared" ref="AG5" si="14">B5+D5+F5+H5+J5+L5+N5+P5+R5+T5+V5+X5+Z5+AB5+AD5+AF5</f>
        <v>39951</v>
      </c>
      <c r="AH5" s="1">
        <v>1737</v>
      </c>
      <c r="AI5" s="1">
        <f>B5+D5+F5+H5+J5+L5+N5+P5+R5+T5+V5+X5+Z5+AB5+AD5+AF5+AH5</f>
        <v>41688</v>
      </c>
      <c r="AJ5" s="1">
        <v>1737</v>
      </c>
      <c r="AK5" s="1">
        <f>B5+D5+F5+H5+J5+L5+N5+P5+R5+T5+V5+X5+Z5+AB5+AD5+AF5+AH5+AJ5</f>
        <v>43425</v>
      </c>
      <c r="AL5" s="1">
        <v>1737</v>
      </c>
      <c r="AM5" s="1">
        <f t="shared" ref="AM5" si="15">B5+D5+F5+H5+J5+L5+N5+P5+R5+T5+V5+X5+Z5+AB5+AD5+AF5+AH5+AJ5+AL5</f>
        <v>45162</v>
      </c>
      <c r="AN5" s="1">
        <v>1737</v>
      </c>
      <c r="AO5" s="1">
        <f>B5+D5+F5+H5+J5+L5+N5+P5+R5+T5+V5+X5+Z5+AB5+AD5+AF5+AH5+AJ5+AL5+AN5</f>
        <v>46899</v>
      </c>
    </row>
    <row r="6" spans="1:41">
      <c r="A6" s="1" t="s">
        <v>28</v>
      </c>
      <c r="B6" s="1">
        <v>2250</v>
      </c>
      <c r="C6" s="1">
        <f t="shared" ref="C6:C18" si="16">B6</f>
        <v>2250</v>
      </c>
      <c r="D6" s="1">
        <v>2250</v>
      </c>
      <c r="E6" s="1">
        <f t="shared" ref="E6:E18" si="17">B6+D6</f>
        <v>4500</v>
      </c>
      <c r="F6" s="1">
        <v>2250</v>
      </c>
      <c r="G6" s="1">
        <f t="shared" ref="G6:G18" si="18">B6+D6+F6</f>
        <v>6750</v>
      </c>
      <c r="H6" s="1">
        <v>2250</v>
      </c>
      <c r="I6" s="1">
        <f t="shared" ref="I6:I18" si="19">B6+D6+F6+H6</f>
        <v>9000</v>
      </c>
      <c r="J6" s="1">
        <v>2250</v>
      </c>
      <c r="K6" s="1">
        <f t="shared" ref="K6:K18" si="20">B6+D6+F6+H6+J6</f>
        <v>11250</v>
      </c>
      <c r="L6" s="49">
        <f t="shared" ref="L6:L12" si="21">B6*(90/100)</f>
        <v>2025</v>
      </c>
      <c r="M6" s="1">
        <f t="shared" ref="M6:M18" si="22">B6+D6+F6+H6+J6+L6</f>
        <v>13275</v>
      </c>
      <c r="N6" s="1">
        <f t="shared" ref="N6:N12" si="23">B6*(80/100)</f>
        <v>1800</v>
      </c>
      <c r="O6" s="1">
        <f t="shared" ref="O6:O18" si="24">B6+D6+F6+H6+J6+L6+N6</f>
        <v>15075</v>
      </c>
      <c r="P6" s="1">
        <f t="shared" ref="P6:P12" si="25">B6*(70/100)</f>
        <v>1575</v>
      </c>
      <c r="Q6" s="1">
        <f t="shared" ref="Q6:Q18" si="26">B6+D6+F6+H6+J6+L6+N6+P6</f>
        <v>16650</v>
      </c>
      <c r="R6" s="1">
        <f t="shared" ref="R6:R12" si="27">B6*(60/100)</f>
        <v>1350</v>
      </c>
      <c r="S6" s="1">
        <f t="shared" ref="S6:S18" si="28">B6+D6+F6+H6+J6+L6+N6+P6+R6</f>
        <v>18000</v>
      </c>
      <c r="T6" s="1">
        <f t="shared" ref="T6:T12" si="29">B6*(50/100)</f>
        <v>1125</v>
      </c>
      <c r="U6" s="1">
        <f t="shared" ref="U6:U18" si="30">B6+D6+F6+H6+J6+L6+N6+P6+R6+T6</f>
        <v>19125</v>
      </c>
      <c r="V6" s="1">
        <v>1125</v>
      </c>
      <c r="W6" s="1">
        <f t="shared" ref="W6:W18" si="31">B6+D6+F6+H6+J6+L6+N6+P6+R6+T6+V6</f>
        <v>20250</v>
      </c>
      <c r="X6" s="1">
        <v>1125</v>
      </c>
      <c r="Y6" s="1">
        <f t="shared" ref="Y6:Y18" si="32">B6+D6+F6+H6+J6+L6+N6+P6+R6+T6+V6+X6</f>
        <v>21375</v>
      </c>
      <c r="Z6" s="1">
        <v>1125</v>
      </c>
      <c r="AA6" s="1">
        <f t="shared" ref="AA6:AA18" si="33">B6+D6+F6+H6+J6+L6+N6+P6+R6+T6+V6+X6+Z6</f>
        <v>22500</v>
      </c>
      <c r="AB6" s="1">
        <v>1125</v>
      </c>
      <c r="AC6" s="1">
        <f t="shared" ref="AC6:AC18" si="34">B6+D6+F6+H6+J6+L6+N6+P6+R6+T6+V6+X6+Z6+AB6</f>
        <v>23625</v>
      </c>
      <c r="AD6" s="1">
        <v>1125</v>
      </c>
      <c r="AE6" s="1">
        <f t="shared" ref="AE6:AE18" si="35">B6+D6+F6+H6+J6+L6+N6+P6+R6+T6+V6+X6+Z6+AB6+AD6</f>
        <v>24750</v>
      </c>
      <c r="AF6" s="1">
        <v>1125</v>
      </c>
      <c r="AG6" s="1">
        <f t="shared" ref="AG6:AG18" si="36">B6+D6+F6+H6+J6+L6+N6+P6+R6+T6+V6+X6+Z6+AB6+AD6+AF6</f>
        <v>25875</v>
      </c>
      <c r="AH6" s="1">
        <v>1125</v>
      </c>
      <c r="AI6" s="1">
        <f t="shared" ref="AI6:AI18" si="37">B6+D6+F6+H6+J6+L6+N6+P6+R6+T6+V6+X6+Z6+AB6+AD6+AF6+AH6</f>
        <v>27000</v>
      </c>
      <c r="AJ6" s="1">
        <v>1125</v>
      </c>
      <c r="AK6" s="1">
        <f>B6+D6+F6+H6+J6+L6+N6+P6+R6+T6+V6+X6+Z6+AB6+AD6+AF6+AH6+AJ6</f>
        <v>28125</v>
      </c>
      <c r="AL6" s="1">
        <v>1125</v>
      </c>
      <c r="AM6" s="1">
        <f t="shared" ref="AM6:AM18" si="38">B6+D6+F6+H6+J6+L6+N6+P6+R6+T6+V6+X6+Z6+AB6+AD6+AF6+AH6+AJ6+AL6</f>
        <v>29250</v>
      </c>
      <c r="AN6" s="1">
        <v>1125</v>
      </c>
      <c r="AO6" s="1">
        <f t="shared" ref="AO6:AO18" si="39">B6+D6+F6+H6+J6+L6+N6+P6+R6+T6+V6+X6+Z6+AB6+AD6+AF6+AH6+AJ6+AL6+AN6</f>
        <v>30375</v>
      </c>
    </row>
    <row r="7" spans="1:41">
      <c r="A7" s="1" t="s">
        <v>124</v>
      </c>
      <c r="B7" s="1">
        <v>1647</v>
      </c>
      <c r="C7" s="1">
        <f t="shared" ref="C7" si="40">B7</f>
        <v>1647</v>
      </c>
      <c r="D7" s="1">
        <v>1647</v>
      </c>
      <c r="E7" s="1">
        <f t="shared" ref="E7" si="41">B7+D7</f>
        <v>3294</v>
      </c>
      <c r="F7" s="1">
        <v>1647</v>
      </c>
      <c r="G7" s="1">
        <f t="shared" ref="G7" si="42">B7+D7+F7</f>
        <v>4941</v>
      </c>
      <c r="H7" s="1">
        <v>1647</v>
      </c>
      <c r="I7" s="1">
        <f t="shared" ref="I7" si="43">B7+D7+F7+H7</f>
        <v>6588</v>
      </c>
      <c r="J7" s="1">
        <v>1647</v>
      </c>
      <c r="K7" s="1">
        <f t="shared" ref="K7" si="44">B7+D7+F7+H7+J7</f>
        <v>8235</v>
      </c>
      <c r="L7" s="1">
        <v>1482.3</v>
      </c>
      <c r="M7" s="1">
        <f t="shared" ref="M7" si="45">B7+D7+F7+H7+J7+L7</f>
        <v>9717.2999999999993</v>
      </c>
      <c r="N7" s="1">
        <v>1317.6</v>
      </c>
      <c r="O7" s="1">
        <f t="shared" ref="O7" si="46">B7+D7+F7+H7+J7+L7+N7</f>
        <v>11034.9</v>
      </c>
      <c r="P7" s="1">
        <v>1152.9000000000001</v>
      </c>
      <c r="Q7" s="1">
        <f t="shared" ref="Q7" si="47">B7+D7+F7+H7+J7+L7+N7+P7</f>
        <v>12187.8</v>
      </c>
      <c r="R7" s="1">
        <v>988.2</v>
      </c>
      <c r="S7" s="1">
        <f t="shared" ref="S7" si="48">B7+D7+F7+H7+J7+L7+N7+P7+R7</f>
        <v>13176</v>
      </c>
      <c r="T7" s="1">
        <v>823.5</v>
      </c>
      <c r="U7" s="1">
        <f t="shared" ref="U7" si="49">B7+D7+F7+H7+J7+L7+N7+P7+R7+T7</f>
        <v>13999.5</v>
      </c>
      <c r="V7" s="1">
        <v>823.5</v>
      </c>
      <c r="W7" s="1">
        <f t="shared" ref="W7" si="50">B7+D7+F7+H7+J7+L7+N7+P7+R7+T7+V7</f>
        <v>14823</v>
      </c>
      <c r="X7" s="1">
        <v>823.5</v>
      </c>
      <c r="Y7" s="1">
        <f t="shared" ref="Y7" si="51">B7+D7+F7+H7+J7+L7+N7+P7+R7+T7+V7+X7</f>
        <v>15646.5</v>
      </c>
      <c r="Z7" s="1">
        <v>823.5</v>
      </c>
      <c r="AA7" s="1">
        <f t="shared" ref="AA7" si="52">B7+D7+F7+H7+J7+L7+N7+P7+R7+T7+V7+X7+Z7</f>
        <v>16470</v>
      </c>
      <c r="AB7" s="1">
        <v>823.5</v>
      </c>
      <c r="AC7" s="1">
        <f t="shared" ref="AC7" si="53">B7+D7+F7+H7+J7+L7+N7+P7+R7+T7+V7+X7+Z7+AB7</f>
        <v>17293.5</v>
      </c>
      <c r="AD7" s="1">
        <v>823.5</v>
      </c>
      <c r="AE7" s="1">
        <f t="shared" ref="AE7" si="54">B7+D7+F7+H7+J7+L7+N7+P7+R7+T7+V7+X7+Z7+AB7+AD7</f>
        <v>18117</v>
      </c>
      <c r="AF7" s="1">
        <v>823.5</v>
      </c>
      <c r="AG7" s="1">
        <f t="shared" ref="AG7" si="55">B7+D7+F7+H7+J7+L7+N7+P7+R7+T7+V7+X7+Z7+AB7+AD7+AF7</f>
        <v>18940.5</v>
      </c>
      <c r="AH7" s="1">
        <v>823.5</v>
      </c>
      <c r="AI7" s="1">
        <f>B7+D7+F7+H7+J7+L7+N7+P7+R7+T7+V7+X7+Z7+AB7+AD7+AF7+AH7</f>
        <v>19764</v>
      </c>
      <c r="AJ7" s="1">
        <v>823.5</v>
      </c>
      <c r="AK7" s="1">
        <f>B7+D7+F7+H7+J7+L7+N7+P7+R7+T7+V7+X7+Z7+AB7+AD7+AF7+AH7+AJ7</f>
        <v>20587.5</v>
      </c>
      <c r="AL7" s="1">
        <v>823.5</v>
      </c>
      <c r="AM7" s="1">
        <f t="shared" ref="AM7" si="56">B7+D7+F7+H7+J7+L7+N7+P7+R7+T7+V7+X7+Z7+AB7+AD7+AF7+AH7+AJ7+AL7</f>
        <v>21411</v>
      </c>
      <c r="AN7" s="1">
        <v>823.5</v>
      </c>
      <c r="AO7" s="1">
        <f t="shared" ref="AO7" si="57">B7+D7+F7+H7+J7+L7+N7+P7+R7+T7+V7+X7+Z7+AB7+AD7+AF7+AH7+AJ7+AL7+AN7</f>
        <v>22234.5</v>
      </c>
    </row>
    <row r="8" spans="1:41">
      <c r="A8" s="1" t="s">
        <v>30</v>
      </c>
      <c r="B8" s="1">
        <v>2900</v>
      </c>
      <c r="C8" s="1">
        <f t="shared" si="16"/>
        <v>2900</v>
      </c>
      <c r="D8" s="1">
        <v>2900</v>
      </c>
      <c r="E8" s="1">
        <f t="shared" si="17"/>
        <v>5800</v>
      </c>
      <c r="F8" s="1">
        <v>2900</v>
      </c>
      <c r="G8" s="1">
        <f t="shared" si="18"/>
        <v>8700</v>
      </c>
      <c r="H8" s="1">
        <v>2900</v>
      </c>
      <c r="I8" s="1">
        <f t="shared" si="19"/>
        <v>11600</v>
      </c>
      <c r="J8" s="1">
        <v>2900</v>
      </c>
      <c r="K8" s="1">
        <f t="shared" si="20"/>
        <v>14500</v>
      </c>
      <c r="L8" s="1">
        <f>B8*(90/100)</f>
        <v>2610</v>
      </c>
      <c r="M8" s="1">
        <f t="shared" si="22"/>
        <v>17110</v>
      </c>
      <c r="N8" s="1">
        <f>B8*(80/100)</f>
        <v>2320</v>
      </c>
      <c r="O8" s="1">
        <f t="shared" si="24"/>
        <v>19430</v>
      </c>
      <c r="P8" s="1">
        <f>B8*(70/100)</f>
        <v>2029.9999999999998</v>
      </c>
      <c r="Q8" s="1">
        <f t="shared" si="26"/>
        <v>21460</v>
      </c>
      <c r="R8" s="1">
        <f>B8*(60/100)</f>
        <v>1740</v>
      </c>
      <c r="S8" s="1">
        <f t="shared" si="28"/>
        <v>23200</v>
      </c>
      <c r="T8" s="1">
        <f>B8*(50/100)</f>
        <v>1450</v>
      </c>
      <c r="U8" s="1">
        <f t="shared" si="30"/>
        <v>24650</v>
      </c>
      <c r="V8" s="1">
        <v>1450</v>
      </c>
      <c r="W8" s="1">
        <f t="shared" si="31"/>
        <v>26100</v>
      </c>
      <c r="X8" s="1">
        <v>1450</v>
      </c>
      <c r="Y8" s="1">
        <f t="shared" si="32"/>
        <v>27550</v>
      </c>
      <c r="Z8" s="1">
        <v>1450</v>
      </c>
      <c r="AA8" s="1">
        <f t="shared" si="33"/>
        <v>29000</v>
      </c>
      <c r="AB8" s="1">
        <v>1450</v>
      </c>
      <c r="AC8" s="1">
        <f t="shared" si="34"/>
        <v>30450</v>
      </c>
      <c r="AD8" s="1">
        <v>1450</v>
      </c>
      <c r="AE8" s="1">
        <f t="shared" si="35"/>
        <v>31900</v>
      </c>
      <c r="AF8" s="1">
        <v>1450</v>
      </c>
      <c r="AG8" s="1">
        <f t="shared" si="36"/>
        <v>33350</v>
      </c>
      <c r="AH8" s="1">
        <v>1450</v>
      </c>
      <c r="AI8" s="1">
        <f t="shared" si="37"/>
        <v>34800</v>
      </c>
      <c r="AJ8" s="1">
        <v>1450</v>
      </c>
      <c r="AK8" s="1">
        <f t="shared" ref="AK8:AK18" si="58">B8+D8+F8+H8+J8+L8+N8+P8+R8+T8+V8+AN8+X8+Z8+AB8+AD8+AF8+AH8+AJ8</f>
        <v>37700</v>
      </c>
      <c r="AL8" s="1">
        <v>1450</v>
      </c>
      <c r="AM8" s="1">
        <f t="shared" si="38"/>
        <v>37700</v>
      </c>
      <c r="AN8" s="1">
        <v>1450</v>
      </c>
      <c r="AO8" s="1">
        <f t="shared" si="39"/>
        <v>39150</v>
      </c>
    </row>
    <row r="9" spans="1:41">
      <c r="A9" s="1" t="s">
        <v>33</v>
      </c>
      <c r="B9" s="1">
        <v>1650</v>
      </c>
      <c r="C9" s="1">
        <f t="shared" si="16"/>
        <v>1650</v>
      </c>
      <c r="D9" s="1">
        <v>1650</v>
      </c>
      <c r="E9" s="1">
        <f t="shared" si="17"/>
        <v>3300</v>
      </c>
      <c r="F9" s="1">
        <v>1650</v>
      </c>
      <c r="G9" s="1">
        <f>B9+D9+F9</f>
        <v>4950</v>
      </c>
      <c r="H9" s="1">
        <v>1650</v>
      </c>
      <c r="I9" s="1">
        <f t="shared" si="19"/>
        <v>6600</v>
      </c>
      <c r="J9" s="1">
        <v>1650</v>
      </c>
      <c r="K9" s="1">
        <f t="shared" si="20"/>
        <v>8250</v>
      </c>
      <c r="L9" s="1">
        <v>1485</v>
      </c>
      <c r="M9" s="1">
        <f t="shared" si="22"/>
        <v>9735</v>
      </c>
      <c r="N9" s="1">
        <v>1320</v>
      </c>
      <c r="O9" s="1">
        <f t="shared" si="24"/>
        <v>11055</v>
      </c>
      <c r="P9" s="1">
        <v>1155</v>
      </c>
      <c r="Q9" s="1">
        <f t="shared" si="26"/>
        <v>12210</v>
      </c>
      <c r="R9" s="1">
        <v>990</v>
      </c>
      <c r="S9" s="1">
        <f t="shared" si="28"/>
        <v>13200</v>
      </c>
      <c r="T9" s="1">
        <v>825</v>
      </c>
      <c r="U9" s="1">
        <f t="shared" si="30"/>
        <v>14025</v>
      </c>
      <c r="V9" s="1">
        <v>825</v>
      </c>
      <c r="W9" s="1">
        <f t="shared" si="31"/>
        <v>14850</v>
      </c>
      <c r="X9" s="1">
        <v>825</v>
      </c>
      <c r="Y9" s="1">
        <f t="shared" si="32"/>
        <v>15675</v>
      </c>
      <c r="Z9" s="1">
        <v>825</v>
      </c>
      <c r="AA9" s="1">
        <f t="shared" si="33"/>
        <v>16500</v>
      </c>
      <c r="AB9" s="1">
        <v>825</v>
      </c>
      <c r="AC9" s="1">
        <f t="shared" si="34"/>
        <v>17325</v>
      </c>
      <c r="AD9" s="1">
        <v>825</v>
      </c>
      <c r="AE9" s="1">
        <f t="shared" si="35"/>
        <v>18150</v>
      </c>
      <c r="AF9" s="1">
        <v>825</v>
      </c>
      <c r="AG9" s="1">
        <f t="shared" si="36"/>
        <v>18975</v>
      </c>
      <c r="AH9" s="1">
        <v>825</v>
      </c>
      <c r="AI9" s="1">
        <f t="shared" si="37"/>
        <v>19800</v>
      </c>
      <c r="AJ9" s="1">
        <v>825</v>
      </c>
      <c r="AK9" s="1">
        <f>B9+D9+F9+H9+J9+L9+N9+P9+R9+T9+V9+AN9+X9+Z9+AB9+AD9+AF9+AH9+AJ9</f>
        <v>21450</v>
      </c>
      <c r="AL9" s="1">
        <v>825</v>
      </c>
      <c r="AM9" s="1">
        <f t="shared" si="38"/>
        <v>21450</v>
      </c>
      <c r="AN9" s="1">
        <v>825</v>
      </c>
      <c r="AO9" s="1">
        <f>B9+D9+F9+H9+J9+L9+N9+P9+R9+T9+V9+X9+Z9+AB9+AD9+AF9+AH9+AJ9+AL9+AN9</f>
        <v>22275</v>
      </c>
    </row>
    <row r="10" spans="1:41">
      <c r="A10" s="1" t="s">
        <v>125</v>
      </c>
      <c r="B10" s="12">
        <v>1647</v>
      </c>
      <c r="C10" s="1">
        <f t="shared" ref="C10" si="59">B10</f>
        <v>1647</v>
      </c>
      <c r="D10" s="1">
        <v>1647</v>
      </c>
      <c r="E10" s="1">
        <f t="shared" ref="E10" si="60">B10+D10</f>
        <v>3294</v>
      </c>
      <c r="F10" s="1">
        <v>1647</v>
      </c>
      <c r="G10" s="1">
        <f t="shared" ref="G10" si="61">B10+D10+F10</f>
        <v>4941</v>
      </c>
      <c r="H10" s="1">
        <v>1647</v>
      </c>
      <c r="I10" s="1">
        <f t="shared" ref="I10" si="62">B10+D10+F10+H10</f>
        <v>6588</v>
      </c>
      <c r="J10" s="1">
        <v>1647</v>
      </c>
      <c r="K10" s="1">
        <f t="shared" ref="K10" si="63">B10+D10+F10+H10+J10</f>
        <v>8235</v>
      </c>
      <c r="L10" s="1">
        <v>793.8</v>
      </c>
      <c r="M10" s="1">
        <f t="shared" ref="M10" si="64">B10+D10+F10+H10+J10+L10</f>
        <v>9028.7999999999993</v>
      </c>
      <c r="N10" s="1">
        <v>705.6</v>
      </c>
      <c r="O10" s="1">
        <f>B10+D10+F10+H10+J10+L10+N10</f>
        <v>9734.4</v>
      </c>
      <c r="P10" s="1">
        <v>617.4</v>
      </c>
      <c r="Q10" s="1">
        <f t="shared" ref="Q10" si="65">B10+D10+F10+H10+J10+L10+N10+P10</f>
        <v>10351.799999999999</v>
      </c>
      <c r="R10" s="1">
        <v>529.20000000000005</v>
      </c>
      <c r="S10" s="1">
        <f t="shared" ref="S10" si="66">B10+D10+F10+H10+J10+L10+N10+P10+R10</f>
        <v>10881</v>
      </c>
      <c r="T10" s="1">
        <v>441</v>
      </c>
      <c r="U10" s="1">
        <f t="shared" ref="U10" si="67">B10+D10+F10+H10+J10+L10+N10+P10+R10+T10</f>
        <v>11322</v>
      </c>
      <c r="V10" s="1">
        <v>441</v>
      </c>
      <c r="W10" s="1">
        <f t="shared" ref="W10" si="68">B10+D10+F10+H10+J10+L10+N10+P10+R10+T10+V10</f>
        <v>11763</v>
      </c>
      <c r="X10" s="1">
        <v>441</v>
      </c>
      <c r="Y10" s="1">
        <f t="shared" ref="Y10" si="69">B10+D10+F10+H10+J10+L10+N10+P10+R10+T10+V10+X10</f>
        <v>12204</v>
      </c>
      <c r="Z10" s="1">
        <v>441</v>
      </c>
      <c r="AA10" s="1">
        <f t="shared" ref="AA10" si="70">B10+D10+F10+H10+J10+L10+N10+P10+R10+T10+V10+X10+Z10</f>
        <v>12645</v>
      </c>
      <c r="AB10" s="1">
        <v>441</v>
      </c>
      <c r="AC10" s="1">
        <f t="shared" ref="AC10" si="71">B10+D10+F10+H10+J10+L10+N10+P10+R10+T10+V10+X10+Z10+AB10</f>
        <v>13086</v>
      </c>
      <c r="AD10" s="1">
        <v>441</v>
      </c>
      <c r="AE10" s="1">
        <f t="shared" ref="AE10" si="72">B10+D10+F10+H10+J10+L10+N10+P10+R10+T10+V10+X10+Z10+AB10+AD10</f>
        <v>13527</v>
      </c>
      <c r="AF10" s="1">
        <v>441</v>
      </c>
      <c r="AG10" s="1">
        <f t="shared" ref="AG10" si="73">B10+D10+F10+H10+J10+L10+N10+P10+R10+T10+V10+X10+Z10+AB10+AD10+AF10</f>
        <v>13968</v>
      </c>
      <c r="AH10" s="1">
        <v>441</v>
      </c>
      <c r="AI10" s="1">
        <f>B10+D10+F10+H10+J10+L10+N10+P10+R10+T10+V10+X10+Z10+AB10+AD10+AF10+AH10</f>
        <v>14409</v>
      </c>
      <c r="AJ10" s="1">
        <v>441</v>
      </c>
      <c r="AK10" s="1">
        <f>B10+D10+F10+H10+J10+L10+N10+P10+R10+T10+V10+X10+Z10+AB10+AD10+AF10+AH10+AJ10</f>
        <v>14850</v>
      </c>
      <c r="AL10" s="1">
        <v>441</v>
      </c>
      <c r="AM10" s="1">
        <f t="shared" ref="AM10" si="74">B10+D10+F10+H10+J10+L10+N10+P10+R10+T10+V10+X10+Z10+AB10+AD10+AF10+AH10+AJ10+AL10</f>
        <v>15291</v>
      </c>
      <c r="AN10" s="1">
        <v>441</v>
      </c>
      <c r="AO10" s="1">
        <f>B10+D10+F10+H10+J10+L10+N10+P10+R10+T10+V10+X10+Z10+AB10+AD10+AF10+AH10+AJ10+AL10+AN10</f>
        <v>15732</v>
      </c>
    </row>
    <row r="11" spans="1:41">
      <c r="A11" s="1" t="s">
        <v>32</v>
      </c>
      <c r="B11" s="1">
        <v>1649</v>
      </c>
      <c r="C11" s="1">
        <f t="shared" si="16"/>
        <v>1649</v>
      </c>
      <c r="D11" s="1">
        <v>1649</v>
      </c>
      <c r="E11" s="1">
        <f t="shared" si="17"/>
        <v>3298</v>
      </c>
      <c r="F11" s="1">
        <v>1649</v>
      </c>
      <c r="G11" s="1">
        <f t="shared" si="18"/>
        <v>4947</v>
      </c>
      <c r="H11" s="1">
        <v>1649</v>
      </c>
      <c r="I11" s="1">
        <f t="shared" si="19"/>
        <v>6596</v>
      </c>
      <c r="J11" s="1">
        <v>1649</v>
      </c>
      <c r="K11" s="1">
        <f t="shared" si="20"/>
        <v>8245</v>
      </c>
      <c r="L11" s="1">
        <f>B11*(90/100)</f>
        <v>1484.1000000000001</v>
      </c>
      <c r="M11" s="1">
        <f t="shared" si="22"/>
        <v>9729.1</v>
      </c>
      <c r="N11" s="1">
        <f>B11*(80/100)</f>
        <v>1319.2</v>
      </c>
      <c r="O11" s="1">
        <f t="shared" si="24"/>
        <v>11048.300000000001</v>
      </c>
      <c r="P11" s="1">
        <f>B11*(70/100)</f>
        <v>1154.3</v>
      </c>
      <c r="Q11" s="1">
        <f t="shared" si="26"/>
        <v>12202.6</v>
      </c>
      <c r="R11" s="1">
        <f>B11*(60/100)</f>
        <v>989.4</v>
      </c>
      <c r="S11" s="1">
        <f t="shared" si="28"/>
        <v>13192</v>
      </c>
      <c r="T11" s="1">
        <f>B11*(50/100)</f>
        <v>824.5</v>
      </c>
      <c r="U11" s="1">
        <f t="shared" si="30"/>
        <v>14016.5</v>
      </c>
      <c r="V11" s="1">
        <v>824.5</v>
      </c>
      <c r="W11" s="1">
        <f t="shared" si="31"/>
        <v>14841</v>
      </c>
      <c r="X11" s="1">
        <v>824.5</v>
      </c>
      <c r="Y11" s="1">
        <f t="shared" si="32"/>
        <v>15665.5</v>
      </c>
      <c r="Z11" s="1">
        <v>824.5</v>
      </c>
      <c r="AA11" s="1">
        <f t="shared" si="33"/>
        <v>16490</v>
      </c>
      <c r="AB11" s="1">
        <v>824.5</v>
      </c>
      <c r="AC11" s="1">
        <f t="shared" si="34"/>
        <v>17314.5</v>
      </c>
      <c r="AD11" s="1">
        <v>824.5</v>
      </c>
      <c r="AE11" s="1">
        <f t="shared" si="35"/>
        <v>18139</v>
      </c>
      <c r="AF11" s="1">
        <v>824.5</v>
      </c>
      <c r="AG11" s="1">
        <f t="shared" si="36"/>
        <v>18963.5</v>
      </c>
      <c r="AH11" s="1">
        <v>824.5</v>
      </c>
      <c r="AI11" s="1">
        <f t="shared" si="37"/>
        <v>19788</v>
      </c>
      <c r="AJ11" s="1">
        <v>824.5</v>
      </c>
      <c r="AK11" s="1">
        <f t="shared" si="58"/>
        <v>21437</v>
      </c>
      <c r="AL11" s="1">
        <v>824.5</v>
      </c>
      <c r="AM11" s="1">
        <f t="shared" si="38"/>
        <v>21437</v>
      </c>
      <c r="AN11" s="1">
        <v>824.5</v>
      </c>
      <c r="AO11" s="1">
        <f t="shared" si="39"/>
        <v>22261.5</v>
      </c>
    </row>
    <row r="12" spans="1:41">
      <c r="A12" s="1" t="s">
        <v>31</v>
      </c>
      <c r="B12" s="1">
        <v>1349</v>
      </c>
      <c r="C12" s="1">
        <f t="shared" si="16"/>
        <v>1349</v>
      </c>
      <c r="D12" s="1">
        <v>1349</v>
      </c>
      <c r="E12" s="1">
        <f t="shared" si="17"/>
        <v>2698</v>
      </c>
      <c r="F12" s="1">
        <v>1349</v>
      </c>
      <c r="G12" s="1">
        <f t="shared" si="18"/>
        <v>4047</v>
      </c>
      <c r="H12" s="1">
        <v>1349</v>
      </c>
      <c r="I12" s="1">
        <f t="shared" si="19"/>
        <v>5396</v>
      </c>
      <c r="J12" s="1">
        <v>1349</v>
      </c>
      <c r="K12" s="1">
        <f t="shared" si="20"/>
        <v>6745</v>
      </c>
      <c r="L12" s="1">
        <f t="shared" si="21"/>
        <v>1214.1000000000001</v>
      </c>
      <c r="M12" s="1">
        <f t="shared" si="22"/>
        <v>7959.1</v>
      </c>
      <c r="N12" s="1">
        <f t="shared" si="23"/>
        <v>1079.2</v>
      </c>
      <c r="O12" s="1">
        <f t="shared" si="24"/>
        <v>9038.3000000000011</v>
      </c>
      <c r="P12" s="1">
        <f t="shared" si="25"/>
        <v>944.3</v>
      </c>
      <c r="Q12" s="1">
        <f t="shared" si="26"/>
        <v>9982.6</v>
      </c>
      <c r="R12" s="1">
        <f t="shared" si="27"/>
        <v>809.4</v>
      </c>
      <c r="S12" s="1">
        <f t="shared" si="28"/>
        <v>10792</v>
      </c>
      <c r="T12" s="1">
        <f t="shared" si="29"/>
        <v>674.5</v>
      </c>
      <c r="U12" s="1">
        <f t="shared" si="30"/>
        <v>11466.5</v>
      </c>
      <c r="V12" s="1">
        <v>674.5</v>
      </c>
      <c r="W12" s="1">
        <f t="shared" si="31"/>
        <v>12141</v>
      </c>
      <c r="X12" s="1">
        <v>674.5</v>
      </c>
      <c r="Y12" s="1">
        <f t="shared" si="32"/>
        <v>12815.5</v>
      </c>
      <c r="Z12" s="1">
        <v>674.5</v>
      </c>
      <c r="AA12" s="1">
        <f t="shared" si="33"/>
        <v>13490</v>
      </c>
      <c r="AB12" s="1">
        <v>674.5</v>
      </c>
      <c r="AC12" s="1">
        <f t="shared" si="34"/>
        <v>14164.5</v>
      </c>
      <c r="AD12" s="1">
        <v>674.5</v>
      </c>
      <c r="AE12" s="1">
        <f t="shared" si="35"/>
        <v>14839</v>
      </c>
      <c r="AF12" s="1">
        <v>674.5</v>
      </c>
      <c r="AG12" s="1">
        <f t="shared" si="36"/>
        <v>15513.5</v>
      </c>
      <c r="AH12" s="1">
        <v>674.5</v>
      </c>
      <c r="AI12" s="1">
        <f t="shared" si="37"/>
        <v>16188</v>
      </c>
      <c r="AJ12" s="1">
        <v>674.5</v>
      </c>
      <c r="AK12" s="1">
        <f t="shared" si="58"/>
        <v>17537</v>
      </c>
      <c r="AL12" s="1">
        <v>674.5</v>
      </c>
      <c r="AM12" s="1">
        <f t="shared" si="38"/>
        <v>17537</v>
      </c>
      <c r="AN12" s="1">
        <v>674.5</v>
      </c>
      <c r="AO12" s="1">
        <f t="shared" si="39"/>
        <v>18211.5</v>
      </c>
    </row>
    <row r="13" spans="1:41">
      <c r="A13" s="1" t="s">
        <v>120</v>
      </c>
      <c r="B13" s="1">
        <v>260</v>
      </c>
      <c r="C13" s="1">
        <f t="shared" si="16"/>
        <v>260</v>
      </c>
      <c r="D13" s="1">
        <v>1300</v>
      </c>
      <c r="E13" s="1">
        <f t="shared" si="17"/>
        <v>1560</v>
      </c>
      <c r="F13" s="1">
        <v>1300</v>
      </c>
      <c r="G13" s="1">
        <f t="shared" si="18"/>
        <v>2860</v>
      </c>
      <c r="H13" s="1">
        <v>1300</v>
      </c>
      <c r="I13" s="1">
        <f t="shared" si="19"/>
        <v>4160</v>
      </c>
      <c r="J13" s="1">
        <v>1300</v>
      </c>
      <c r="K13" s="1">
        <f t="shared" si="20"/>
        <v>5460</v>
      </c>
      <c r="L13" s="1">
        <v>1300</v>
      </c>
      <c r="M13" s="1">
        <f t="shared" si="22"/>
        <v>6760</v>
      </c>
      <c r="N13" s="1">
        <v>1300</v>
      </c>
      <c r="O13" s="1">
        <f t="shared" si="24"/>
        <v>8060</v>
      </c>
      <c r="P13" s="1">
        <v>1300</v>
      </c>
      <c r="Q13" s="1">
        <f t="shared" si="26"/>
        <v>9360</v>
      </c>
      <c r="R13" s="1">
        <v>1300</v>
      </c>
      <c r="S13" s="1">
        <f t="shared" si="28"/>
        <v>10660</v>
      </c>
      <c r="T13" s="1">
        <v>1300</v>
      </c>
      <c r="U13" s="1">
        <f t="shared" si="30"/>
        <v>11960</v>
      </c>
      <c r="V13" s="1">
        <v>1300</v>
      </c>
      <c r="W13" s="1">
        <f t="shared" si="31"/>
        <v>13260</v>
      </c>
      <c r="X13" s="1">
        <v>1300</v>
      </c>
      <c r="Y13" s="1">
        <f t="shared" si="32"/>
        <v>14560</v>
      </c>
      <c r="Z13" s="1">
        <v>1300</v>
      </c>
      <c r="AA13" s="1">
        <f t="shared" si="33"/>
        <v>15860</v>
      </c>
      <c r="AB13" s="1">
        <v>1300</v>
      </c>
      <c r="AC13" s="1">
        <f t="shared" si="34"/>
        <v>17160</v>
      </c>
      <c r="AD13" s="1">
        <v>1300</v>
      </c>
      <c r="AE13" s="1">
        <f t="shared" si="35"/>
        <v>18460</v>
      </c>
      <c r="AF13" s="1">
        <v>1300</v>
      </c>
      <c r="AG13" s="1">
        <f t="shared" si="36"/>
        <v>19760</v>
      </c>
      <c r="AH13" s="1">
        <v>1300</v>
      </c>
      <c r="AI13" s="1">
        <f t="shared" si="37"/>
        <v>21060</v>
      </c>
      <c r="AJ13" s="1">
        <v>1300</v>
      </c>
      <c r="AK13" s="1">
        <f t="shared" si="58"/>
        <v>23660</v>
      </c>
      <c r="AL13" s="1">
        <v>1300</v>
      </c>
      <c r="AM13" s="1">
        <f t="shared" si="38"/>
        <v>23660</v>
      </c>
      <c r="AN13" s="1">
        <v>1300</v>
      </c>
      <c r="AO13" s="1">
        <f t="shared" si="39"/>
        <v>24960</v>
      </c>
    </row>
    <row r="14" spans="1:41">
      <c r="A14" s="1" t="s">
        <v>119</v>
      </c>
      <c r="B14" s="1">
        <v>260</v>
      </c>
      <c r="C14" s="1">
        <f t="shared" si="16"/>
        <v>260</v>
      </c>
      <c r="D14" s="1">
        <v>1300</v>
      </c>
      <c r="E14" s="1">
        <f t="shared" si="17"/>
        <v>1560</v>
      </c>
      <c r="F14" s="1">
        <v>1300</v>
      </c>
      <c r="G14" s="1">
        <f t="shared" si="18"/>
        <v>2860</v>
      </c>
      <c r="H14" s="1">
        <v>1300</v>
      </c>
      <c r="I14" s="1">
        <f t="shared" si="19"/>
        <v>4160</v>
      </c>
      <c r="J14" s="1">
        <v>1300</v>
      </c>
      <c r="K14" s="1">
        <f t="shared" si="20"/>
        <v>5460</v>
      </c>
      <c r="L14" s="1">
        <v>1300</v>
      </c>
      <c r="M14" s="1">
        <f t="shared" si="22"/>
        <v>6760</v>
      </c>
      <c r="N14" s="1">
        <v>1300</v>
      </c>
      <c r="O14" s="1">
        <f t="shared" si="24"/>
        <v>8060</v>
      </c>
      <c r="P14" s="1">
        <v>1300</v>
      </c>
      <c r="Q14" s="1">
        <f t="shared" si="26"/>
        <v>9360</v>
      </c>
      <c r="R14" s="1">
        <v>1300</v>
      </c>
      <c r="S14" s="1">
        <f t="shared" si="28"/>
        <v>10660</v>
      </c>
      <c r="T14" s="1">
        <v>1300</v>
      </c>
      <c r="U14" s="1">
        <f t="shared" si="30"/>
        <v>11960</v>
      </c>
      <c r="V14" s="1">
        <v>1300</v>
      </c>
      <c r="W14" s="1">
        <f t="shared" si="31"/>
        <v>13260</v>
      </c>
      <c r="X14" s="1">
        <v>1300</v>
      </c>
      <c r="Y14" s="1">
        <f t="shared" si="32"/>
        <v>14560</v>
      </c>
      <c r="Z14" s="1">
        <v>1300</v>
      </c>
      <c r="AA14" s="1">
        <f t="shared" si="33"/>
        <v>15860</v>
      </c>
      <c r="AB14" s="1">
        <v>1300</v>
      </c>
      <c r="AC14" s="1">
        <f t="shared" si="34"/>
        <v>17160</v>
      </c>
      <c r="AD14" s="1">
        <v>1300</v>
      </c>
      <c r="AE14" s="1">
        <f t="shared" si="35"/>
        <v>18460</v>
      </c>
      <c r="AF14" s="1">
        <v>1300</v>
      </c>
      <c r="AG14" s="1">
        <f t="shared" si="36"/>
        <v>19760</v>
      </c>
      <c r="AH14" s="1">
        <v>1300</v>
      </c>
      <c r="AI14" s="1">
        <f t="shared" si="37"/>
        <v>21060</v>
      </c>
      <c r="AJ14" s="1">
        <v>1300</v>
      </c>
      <c r="AK14" s="1">
        <f t="shared" si="58"/>
        <v>23660</v>
      </c>
      <c r="AL14" s="1">
        <v>1300</v>
      </c>
      <c r="AM14" s="1">
        <f t="shared" si="38"/>
        <v>23660</v>
      </c>
      <c r="AN14" s="1">
        <v>1300</v>
      </c>
      <c r="AO14" s="1">
        <f t="shared" si="39"/>
        <v>24960</v>
      </c>
    </row>
    <row r="15" spans="1:41">
      <c r="A15" s="1" t="s">
        <v>122</v>
      </c>
      <c r="B15" s="1">
        <v>260</v>
      </c>
      <c r="C15" s="1">
        <f t="shared" si="16"/>
        <v>260</v>
      </c>
      <c r="D15" s="1">
        <v>1300</v>
      </c>
      <c r="E15" s="1">
        <f t="shared" si="17"/>
        <v>1560</v>
      </c>
      <c r="F15" s="1">
        <v>1300</v>
      </c>
      <c r="G15" s="1">
        <f t="shared" si="18"/>
        <v>2860</v>
      </c>
      <c r="H15" s="1">
        <v>1300</v>
      </c>
      <c r="I15" s="1">
        <f t="shared" si="19"/>
        <v>4160</v>
      </c>
      <c r="J15" s="1">
        <v>1300</v>
      </c>
      <c r="K15" s="1">
        <f t="shared" si="20"/>
        <v>5460</v>
      </c>
      <c r="L15" s="1">
        <v>1300</v>
      </c>
      <c r="M15" s="1">
        <f t="shared" si="22"/>
        <v>6760</v>
      </c>
      <c r="N15" s="1">
        <v>1300</v>
      </c>
      <c r="O15" s="1">
        <f t="shared" si="24"/>
        <v>8060</v>
      </c>
      <c r="P15" s="1">
        <v>1300</v>
      </c>
      <c r="Q15" s="1">
        <f t="shared" si="26"/>
        <v>9360</v>
      </c>
      <c r="R15" s="1">
        <v>1300</v>
      </c>
      <c r="S15" s="1">
        <f t="shared" si="28"/>
        <v>10660</v>
      </c>
      <c r="T15" s="1">
        <v>1300</v>
      </c>
      <c r="U15" s="1">
        <f t="shared" si="30"/>
        <v>11960</v>
      </c>
      <c r="V15" s="1">
        <v>1300</v>
      </c>
      <c r="W15" s="1">
        <f t="shared" si="31"/>
        <v>13260</v>
      </c>
      <c r="X15" s="1">
        <v>1300</v>
      </c>
      <c r="Y15" s="1">
        <f t="shared" si="32"/>
        <v>14560</v>
      </c>
      <c r="Z15" s="1">
        <v>1300</v>
      </c>
      <c r="AA15" s="1">
        <f t="shared" si="33"/>
        <v>15860</v>
      </c>
      <c r="AB15" s="1">
        <v>1300</v>
      </c>
      <c r="AC15" s="1">
        <f t="shared" si="34"/>
        <v>17160</v>
      </c>
      <c r="AD15" s="1">
        <v>1300</v>
      </c>
      <c r="AE15" s="1">
        <f t="shared" si="35"/>
        <v>18460</v>
      </c>
      <c r="AF15" s="1">
        <v>1300</v>
      </c>
      <c r="AG15" s="1">
        <f t="shared" si="36"/>
        <v>19760</v>
      </c>
      <c r="AH15" s="1">
        <v>1300</v>
      </c>
      <c r="AI15" s="1">
        <f t="shared" si="37"/>
        <v>21060</v>
      </c>
      <c r="AJ15" s="1">
        <v>1300</v>
      </c>
      <c r="AK15" s="1">
        <f t="shared" si="58"/>
        <v>23660</v>
      </c>
      <c r="AL15" s="1">
        <v>1300</v>
      </c>
      <c r="AM15" s="1">
        <f t="shared" si="38"/>
        <v>23660</v>
      </c>
      <c r="AN15" s="1">
        <v>1300</v>
      </c>
      <c r="AO15" s="1">
        <f t="shared" si="39"/>
        <v>24960</v>
      </c>
    </row>
    <row r="16" spans="1:41">
      <c r="A16" s="1" t="s">
        <v>121</v>
      </c>
      <c r="B16" s="1">
        <v>260</v>
      </c>
      <c r="C16" s="1">
        <f t="shared" si="16"/>
        <v>260</v>
      </c>
      <c r="D16" s="1">
        <v>1300</v>
      </c>
      <c r="E16" s="1">
        <f t="shared" si="17"/>
        <v>1560</v>
      </c>
      <c r="F16" s="1">
        <v>1300</v>
      </c>
      <c r="G16" s="1">
        <f t="shared" si="18"/>
        <v>2860</v>
      </c>
      <c r="H16" s="1">
        <v>1300</v>
      </c>
      <c r="I16" s="1">
        <f t="shared" si="19"/>
        <v>4160</v>
      </c>
      <c r="J16" s="1">
        <v>1300</v>
      </c>
      <c r="K16" s="1">
        <f t="shared" si="20"/>
        <v>5460</v>
      </c>
      <c r="L16" s="1">
        <v>1300</v>
      </c>
      <c r="M16" s="1">
        <f t="shared" si="22"/>
        <v>6760</v>
      </c>
      <c r="N16" s="1">
        <v>1300</v>
      </c>
      <c r="O16" s="1">
        <f t="shared" si="24"/>
        <v>8060</v>
      </c>
      <c r="P16" s="1">
        <v>1300</v>
      </c>
      <c r="Q16" s="1">
        <f t="shared" si="26"/>
        <v>9360</v>
      </c>
      <c r="R16" s="1">
        <v>1300</v>
      </c>
      <c r="S16" s="1">
        <f t="shared" si="28"/>
        <v>10660</v>
      </c>
      <c r="T16" s="1">
        <v>1300</v>
      </c>
      <c r="U16" s="1">
        <f t="shared" si="30"/>
        <v>11960</v>
      </c>
      <c r="V16" s="1">
        <v>1300</v>
      </c>
      <c r="W16" s="1">
        <f t="shared" si="31"/>
        <v>13260</v>
      </c>
      <c r="X16" s="1">
        <v>1300</v>
      </c>
      <c r="Y16" s="1">
        <f t="shared" si="32"/>
        <v>14560</v>
      </c>
      <c r="Z16" s="1">
        <v>1300</v>
      </c>
      <c r="AA16" s="1">
        <f t="shared" si="33"/>
        <v>15860</v>
      </c>
      <c r="AB16" s="1">
        <v>1300</v>
      </c>
      <c r="AC16" s="1">
        <f t="shared" si="34"/>
        <v>17160</v>
      </c>
      <c r="AD16" s="1">
        <v>1300</v>
      </c>
      <c r="AE16" s="1">
        <f t="shared" si="35"/>
        <v>18460</v>
      </c>
      <c r="AF16" s="1">
        <v>1300</v>
      </c>
      <c r="AG16" s="1">
        <f t="shared" si="36"/>
        <v>19760</v>
      </c>
      <c r="AH16" s="1">
        <v>1300</v>
      </c>
      <c r="AI16" s="1">
        <f t="shared" si="37"/>
        <v>21060</v>
      </c>
      <c r="AJ16" s="1">
        <v>1300</v>
      </c>
      <c r="AK16" s="1">
        <f t="shared" si="58"/>
        <v>23660</v>
      </c>
      <c r="AL16" s="1">
        <v>1300</v>
      </c>
      <c r="AM16" s="1">
        <f t="shared" si="38"/>
        <v>23660</v>
      </c>
      <c r="AN16" s="1">
        <v>1300</v>
      </c>
      <c r="AO16" s="1">
        <f t="shared" si="39"/>
        <v>24960</v>
      </c>
    </row>
    <row r="17" spans="1:41">
      <c r="A17" s="1" t="s">
        <v>118</v>
      </c>
      <c r="B17" s="1">
        <v>260</v>
      </c>
      <c r="C17" s="1">
        <f t="shared" si="16"/>
        <v>260</v>
      </c>
      <c r="D17" s="1">
        <v>1300</v>
      </c>
      <c r="E17" s="1">
        <f t="shared" si="17"/>
        <v>1560</v>
      </c>
      <c r="F17" s="1">
        <v>1300</v>
      </c>
      <c r="G17" s="1">
        <f t="shared" si="18"/>
        <v>2860</v>
      </c>
      <c r="H17" s="1">
        <v>1300</v>
      </c>
      <c r="I17" s="1">
        <f t="shared" si="19"/>
        <v>4160</v>
      </c>
      <c r="J17" s="1">
        <v>1300</v>
      </c>
      <c r="K17" s="1">
        <f t="shared" si="20"/>
        <v>5460</v>
      </c>
      <c r="L17" s="1">
        <v>1300</v>
      </c>
      <c r="M17" s="1">
        <f t="shared" si="22"/>
        <v>6760</v>
      </c>
      <c r="N17" s="1">
        <v>1300</v>
      </c>
      <c r="O17" s="1">
        <f t="shared" si="24"/>
        <v>8060</v>
      </c>
      <c r="P17" s="1">
        <v>1300</v>
      </c>
      <c r="Q17" s="1">
        <f t="shared" si="26"/>
        <v>9360</v>
      </c>
      <c r="R17" s="1">
        <v>1300</v>
      </c>
      <c r="S17" s="1">
        <f t="shared" si="28"/>
        <v>10660</v>
      </c>
      <c r="T17" s="1">
        <v>1300</v>
      </c>
      <c r="U17" s="1">
        <f t="shared" si="30"/>
        <v>11960</v>
      </c>
      <c r="V17" s="1">
        <v>1300</v>
      </c>
      <c r="W17" s="1">
        <f t="shared" si="31"/>
        <v>13260</v>
      </c>
      <c r="X17" s="1">
        <v>1300</v>
      </c>
      <c r="Y17" s="1">
        <f t="shared" si="32"/>
        <v>14560</v>
      </c>
      <c r="Z17" s="1">
        <v>1300</v>
      </c>
      <c r="AA17" s="1">
        <f t="shared" si="33"/>
        <v>15860</v>
      </c>
      <c r="AB17" s="1">
        <v>1300</v>
      </c>
      <c r="AC17" s="1">
        <f t="shared" si="34"/>
        <v>17160</v>
      </c>
      <c r="AD17" s="1">
        <v>1300</v>
      </c>
      <c r="AE17" s="1">
        <f t="shared" si="35"/>
        <v>18460</v>
      </c>
      <c r="AF17" s="1">
        <v>1300</v>
      </c>
      <c r="AG17" s="1">
        <f t="shared" si="36"/>
        <v>19760</v>
      </c>
      <c r="AH17" s="1">
        <v>1300</v>
      </c>
      <c r="AI17" s="1">
        <f t="shared" si="37"/>
        <v>21060</v>
      </c>
      <c r="AJ17" s="1">
        <v>1300</v>
      </c>
      <c r="AK17" s="1">
        <f>B17+D17+F17+H17+J17+L17+N17+P17+R17+T17+V17+AN17+X17+Z17+AB17+AD17+AF17+AH17+AJ17</f>
        <v>23660</v>
      </c>
      <c r="AL17" s="1">
        <v>1300</v>
      </c>
      <c r="AM17" s="1">
        <f t="shared" si="38"/>
        <v>23660</v>
      </c>
      <c r="AN17" s="1">
        <v>1300</v>
      </c>
      <c r="AO17" s="1">
        <f t="shared" si="39"/>
        <v>24960</v>
      </c>
    </row>
    <row r="18" spans="1:41">
      <c r="A18" s="1" t="s">
        <v>123</v>
      </c>
      <c r="B18" s="1">
        <v>260</v>
      </c>
      <c r="C18" s="1">
        <f t="shared" si="16"/>
        <v>260</v>
      </c>
      <c r="D18" s="1">
        <v>1300</v>
      </c>
      <c r="E18" s="1">
        <f t="shared" si="17"/>
        <v>1560</v>
      </c>
      <c r="F18" s="1">
        <v>1300</v>
      </c>
      <c r="G18" s="1">
        <f t="shared" si="18"/>
        <v>2860</v>
      </c>
      <c r="H18" s="1">
        <v>1300</v>
      </c>
      <c r="I18" s="1">
        <f t="shared" si="19"/>
        <v>4160</v>
      </c>
      <c r="J18" s="1">
        <v>1300</v>
      </c>
      <c r="K18" s="1">
        <f t="shared" si="20"/>
        <v>5460</v>
      </c>
      <c r="L18" s="1">
        <v>1300</v>
      </c>
      <c r="M18" s="1">
        <f t="shared" si="22"/>
        <v>6760</v>
      </c>
      <c r="N18" s="1">
        <v>1300</v>
      </c>
      <c r="O18" s="1">
        <f t="shared" si="24"/>
        <v>8060</v>
      </c>
      <c r="P18" s="1">
        <v>1300</v>
      </c>
      <c r="Q18" s="1">
        <f t="shared" si="26"/>
        <v>9360</v>
      </c>
      <c r="R18" s="1">
        <v>1300</v>
      </c>
      <c r="S18" s="1">
        <f t="shared" si="28"/>
        <v>10660</v>
      </c>
      <c r="T18" s="1">
        <v>1300</v>
      </c>
      <c r="U18" s="1">
        <f t="shared" si="30"/>
        <v>11960</v>
      </c>
      <c r="V18" s="1">
        <v>1300</v>
      </c>
      <c r="W18" s="1">
        <f t="shared" si="31"/>
        <v>13260</v>
      </c>
      <c r="X18" s="1">
        <v>1300</v>
      </c>
      <c r="Y18" s="1">
        <f t="shared" si="32"/>
        <v>14560</v>
      </c>
      <c r="Z18" s="1">
        <v>1300</v>
      </c>
      <c r="AA18" s="1">
        <f t="shared" si="33"/>
        <v>15860</v>
      </c>
      <c r="AB18" s="1">
        <v>1300</v>
      </c>
      <c r="AC18" s="1">
        <f t="shared" si="34"/>
        <v>17160</v>
      </c>
      <c r="AD18" s="1">
        <v>1300</v>
      </c>
      <c r="AE18" s="1">
        <f t="shared" si="35"/>
        <v>18460</v>
      </c>
      <c r="AF18" s="1">
        <v>1300</v>
      </c>
      <c r="AG18" s="1">
        <f t="shared" si="36"/>
        <v>19760</v>
      </c>
      <c r="AH18" s="1">
        <v>1300</v>
      </c>
      <c r="AI18" s="1">
        <f t="shared" si="37"/>
        <v>21060</v>
      </c>
      <c r="AJ18" s="1">
        <v>1300</v>
      </c>
      <c r="AK18" s="1">
        <f t="shared" si="58"/>
        <v>23660</v>
      </c>
      <c r="AL18" s="1">
        <v>1300</v>
      </c>
      <c r="AM18" s="1">
        <f t="shared" si="38"/>
        <v>23660</v>
      </c>
      <c r="AN18" s="1">
        <v>1300</v>
      </c>
      <c r="AO18" s="1">
        <f t="shared" si="39"/>
        <v>24960</v>
      </c>
    </row>
    <row r="19" spans="1:41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1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1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</sheetData>
  <mergeCells count="1">
    <mergeCell ref="B2:AN2"/>
  </mergeCells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140E2E-AB71-4645-AB3C-674C557129AA}">
  <dimension ref="A2:V21"/>
  <sheetViews>
    <sheetView zoomScale="79" workbookViewId="0">
      <selection activeCell="Q21" sqref="Q21"/>
    </sheetView>
  </sheetViews>
  <sheetFormatPr defaultRowHeight="14.4"/>
  <cols>
    <col min="1" max="1" width="47.109375" customWidth="1"/>
    <col min="2" max="2" width="9.44140625" bestFit="1" customWidth="1"/>
    <col min="3" max="16" width="9" bestFit="1" customWidth="1"/>
    <col min="17" max="19" width="12.88671875" bestFit="1" customWidth="1"/>
    <col min="20" max="20" width="14.5546875" bestFit="1" customWidth="1"/>
    <col min="21" max="21" width="12.88671875" bestFit="1" customWidth="1"/>
  </cols>
  <sheetData>
    <row r="2" spans="1:21" ht="24.6">
      <c r="A2" s="1"/>
      <c r="B2" s="62" t="s">
        <v>2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</row>
    <row r="3" spans="1:21" ht="24.6">
      <c r="A3" s="1"/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</row>
    <row r="4" spans="1:21" ht="24.6">
      <c r="A4" s="1" t="s">
        <v>0</v>
      </c>
      <c r="B4" s="2"/>
      <c r="C4" s="2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</row>
    <row r="5" spans="1:21" ht="24.6">
      <c r="A5" s="1" t="s">
        <v>126</v>
      </c>
      <c r="B5" s="3">
        <v>645.21</v>
      </c>
      <c r="C5" s="3">
        <f t="shared" ref="C5" si="0">B5*2</f>
        <v>1290.42</v>
      </c>
      <c r="D5" s="3">
        <f t="shared" ref="D5" si="1">B5*3</f>
        <v>1935.63</v>
      </c>
      <c r="E5" s="3">
        <f t="shared" ref="E5" si="2">B5*4</f>
        <v>2580.84</v>
      </c>
      <c r="F5" s="3">
        <f t="shared" ref="F5" si="3">B5*5</f>
        <v>3226.05</v>
      </c>
      <c r="G5" s="3">
        <f t="shared" ref="G5" si="4">B5*6</f>
        <v>3871.26</v>
      </c>
      <c r="H5" s="3">
        <f t="shared" ref="H5" si="5">B5*7</f>
        <v>4516.47</v>
      </c>
      <c r="I5" s="3">
        <f t="shared" ref="I5" si="6">B5*8</f>
        <v>5161.68</v>
      </c>
      <c r="J5" s="3">
        <f t="shared" ref="J5" si="7">B5*9</f>
        <v>5806.89</v>
      </c>
      <c r="K5" s="3">
        <f t="shared" ref="K5" si="8">B5*10</f>
        <v>6452.1</v>
      </c>
      <c r="L5" s="3">
        <f t="shared" ref="L5" si="9">B5*11</f>
        <v>7097.31</v>
      </c>
      <c r="M5" s="3">
        <f t="shared" ref="M5" si="10">B5*12</f>
        <v>7742.52</v>
      </c>
      <c r="N5" s="3">
        <f t="shared" ref="N5" si="11">B5*13</f>
        <v>8387.73</v>
      </c>
      <c r="O5" s="3">
        <f t="shared" ref="O5" si="12">B5*14</f>
        <v>9032.94</v>
      </c>
      <c r="P5" s="3">
        <f t="shared" ref="P5" si="13">B5*15</f>
        <v>9678.1500000000015</v>
      </c>
      <c r="Q5" s="3">
        <f t="shared" ref="Q5" si="14">B5*16</f>
        <v>10323.36</v>
      </c>
      <c r="R5" s="3">
        <f t="shared" ref="R5" si="15">B5*17</f>
        <v>10968.57</v>
      </c>
      <c r="S5" s="3">
        <f t="shared" ref="S5" si="16">B5*18</f>
        <v>11613.78</v>
      </c>
      <c r="T5" s="3">
        <f t="shared" ref="T5" si="17">B5*19</f>
        <v>12258.990000000002</v>
      </c>
      <c r="U5" s="3">
        <f t="shared" ref="U5" si="18">B5*20</f>
        <v>12904.2</v>
      </c>
    </row>
    <row r="6" spans="1:21" ht="24.6">
      <c r="A6" s="1" t="s">
        <v>28</v>
      </c>
      <c r="B6" s="3">
        <v>645.21</v>
      </c>
      <c r="C6" s="3">
        <f t="shared" ref="C6:C17" si="19">B6*2</f>
        <v>1290.42</v>
      </c>
      <c r="D6" s="3">
        <f t="shared" ref="D6:D17" si="20">B6*3</f>
        <v>1935.63</v>
      </c>
      <c r="E6" s="3">
        <f t="shared" ref="E6:E17" si="21">B6*4</f>
        <v>2580.84</v>
      </c>
      <c r="F6" s="3">
        <f t="shared" ref="F6:F17" si="22">B6*5</f>
        <v>3226.05</v>
      </c>
      <c r="G6" s="3">
        <f t="shared" ref="G6:G17" si="23">B6*6</f>
        <v>3871.26</v>
      </c>
      <c r="H6" s="3">
        <f t="shared" ref="H6:H17" si="24">B6*7</f>
        <v>4516.47</v>
      </c>
      <c r="I6" s="3">
        <f t="shared" ref="I6:I17" si="25">B6*8</f>
        <v>5161.68</v>
      </c>
      <c r="J6" s="3">
        <f t="shared" ref="J6:J17" si="26">B6*9</f>
        <v>5806.89</v>
      </c>
      <c r="K6" s="3">
        <f t="shared" ref="K6:K17" si="27">B6*10</f>
        <v>6452.1</v>
      </c>
      <c r="L6" s="3">
        <f t="shared" ref="L6:L17" si="28">B6*11</f>
        <v>7097.31</v>
      </c>
      <c r="M6" s="3">
        <f t="shared" ref="M6:M17" si="29">B6*12</f>
        <v>7742.52</v>
      </c>
      <c r="N6" s="3">
        <f t="shared" ref="N6:N17" si="30">B6*13</f>
        <v>8387.73</v>
      </c>
      <c r="O6" s="3">
        <f t="shared" ref="O6:O17" si="31">B6*14</f>
        <v>9032.94</v>
      </c>
      <c r="P6" s="3">
        <f t="shared" ref="P6:P17" si="32">B6*15</f>
        <v>9678.1500000000015</v>
      </c>
      <c r="Q6" s="3">
        <f t="shared" ref="Q6:Q17" si="33">B6*16</f>
        <v>10323.36</v>
      </c>
      <c r="R6" s="3">
        <f t="shared" ref="R6:R17" si="34">B6*17</f>
        <v>10968.57</v>
      </c>
      <c r="S6" s="3">
        <f t="shared" ref="S6:S17" si="35">B6*18</f>
        <v>11613.78</v>
      </c>
      <c r="T6" s="3">
        <f t="shared" ref="T6:T17" si="36">B6*19</f>
        <v>12258.990000000002</v>
      </c>
      <c r="U6" s="3">
        <f t="shared" ref="U6:U17" si="37">B6*20</f>
        <v>12904.2</v>
      </c>
    </row>
    <row r="7" spans="1:21" ht="24.6">
      <c r="A7" s="1" t="s">
        <v>124</v>
      </c>
      <c r="B7" s="3">
        <v>645.21</v>
      </c>
      <c r="C7" s="3">
        <f t="shared" si="19"/>
        <v>1290.42</v>
      </c>
      <c r="D7" s="3">
        <f t="shared" si="20"/>
        <v>1935.63</v>
      </c>
      <c r="E7" s="3">
        <f t="shared" si="21"/>
        <v>2580.84</v>
      </c>
      <c r="F7" s="3">
        <f t="shared" si="22"/>
        <v>3226.05</v>
      </c>
      <c r="G7" s="3">
        <f t="shared" si="23"/>
        <v>3871.26</v>
      </c>
      <c r="H7" s="3">
        <f t="shared" si="24"/>
        <v>4516.47</v>
      </c>
      <c r="I7" s="3">
        <f t="shared" si="25"/>
        <v>5161.68</v>
      </c>
      <c r="J7" s="3">
        <f t="shared" si="26"/>
        <v>5806.89</v>
      </c>
      <c r="K7" s="3">
        <f t="shared" si="27"/>
        <v>6452.1</v>
      </c>
      <c r="L7" s="3">
        <f t="shared" si="28"/>
        <v>7097.31</v>
      </c>
      <c r="M7" s="3">
        <f t="shared" si="29"/>
        <v>7742.52</v>
      </c>
      <c r="N7" s="3">
        <f t="shared" si="30"/>
        <v>8387.73</v>
      </c>
      <c r="O7" s="3">
        <f t="shared" si="31"/>
        <v>9032.94</v>
      </c>
      <c r="P7" s="3">
        <f t="shared" si="32"/>
        <v>9678.1500000000015</v>
      </c>
      <c r="Q7" s="3">
        <f t="shared" si="33"/>
        <v>10323.36</v>
      </c>
      <c r="R7" s="3">
        <f t="shared" si="34"/>
        <v>10968.57</v>
      </c>
      <c r="S7" s="3">
        <f t="shared" si="35"/>
        <v>11613.78</v>
      </c>
      <c r="T7" s="3">
        <f t="shared" si="36"/>
        <v>12258.990000000002</v>
      </c>
      <c r="U7" s="3">
        <f t="shared" si="37"/>
        <v>12904.2</v>
      </c>
    </row>
    <row r="8" spans="1:21" ht="24.6">
      <c r="A8" s="1" t="s">
        <v>30</v>
      </c>
      <c r="B8" s="3">
        <v>645.21</v>
      </c>
      <c r="C8" s="3">
        <f>B8*2</f>
        <v>1290.42</v>
      </c>
      <c r="D8" s="3">
        <f>B8*3</f>
        <v>1935.63</v>
      </c>
      <c r="E8" s="3">
        <f>B8*4</f>
        <v>2580.84</v>
      </c>
      <c r="F8" s="3">
        <f>B8*5</f>
        <v>3226.05</v>
      </c>
      <c r="G8" s="3">
        <f>B8*6</f>
        <v>3871.26</v>
      </c>
      <c r="H8" s="3">
        <f>B8*7</f>
        <v>4516.47</v>
      </c>
      <c r="I8" s="3">
        <f>B8*8</f>
        <v>5161.68</v>
      </c>
      <c r="J8" s="3">
        <f>B8*9</f>
        <v>5806.89</v>
      </c>
      <c r="K8" s="3">
        <f>B8*10</f>
        <v>6452.1</v>
      </c>
      <c r="L8" s="3">
        <f>B8*11</f>
        <v>7097.31</v>
      </c>
      <c r="M8" s="3">
        <f>B8*12</f>
        <v>7742.52</v>
      </c>
      <c r="N8" s="3">
        <f>B8*13</f>
        <v>8387.73</v>
      </c>
      <c r="O8" s="3">
        <f>B8*14</f>
        <v>9032.94</v>
      </c>
      <c r="P8" s="3">
        <f>B8*15</f>
        <v>9678.1500000000015</v>
      </c>
      <c r="Q8" s="3">
        <f>B8*16</f>
        <v>10323.36</v>
      </c>
      <c r="R8" s="3">
        <f>B8*17</f>
        <v>10968.57</v>
      </c>
      <c r="S8" s="3">
        <f>B8*18</f>
        <v>11613.78</v>
      </c>
      <c r="T8" s="3">
        <f>B8*19</f>
        <v>12258.990000000002</v>
      </c>
      <c r="U8" s="3">
        <f>B8*20</f>
        <v>12904.2</v>
      </c>
    </row>
    <row r="9" spans="1:21" ht="24.6">
      <c r="A9" s="1" t="s">
        <v>33</v>
      </c>
      <c r="B9" s="3">
        <v>645.21</v>
      </c>
      <c r="C9" s="3">
        <f>B9*2</f>
        <v>1290.42</v>
      </c>
      <c r="D9" s="3">
        <f>B9*3</f>
        <v>1935.63</v>
      </c>
      <c r="E9" s="3">
        <f>B9*4</f>
        <v>2580.84</v>
      </c>
      <c r="F9" s="3">
        <f>B9*5</f>
        <v>3226.05</v>
      </c>
      <c r="G9" s="3">
        <f>B9*6</f>
        <v>3871.26</v>
      </c>
      <c r="H9" s="3">
        <f>B9*7</f>
        <v>4516.47</v>
      </c>
      <c r="I9" s="3">
        <f>B9*8</f>
        <v>5161.68</v>
      </c>
      <c r="J9" s="3">
        <f>B9*9</f>
        <v>5806.89</v>
      </c>
      <c r="K9" s="3">
        <f>B9*10</f>
        <v>6452.1</v>
      </c>
      <c r="L9" s="3">
        <f>B9*11</f>
        <v>7097.31</v>
      </c>
      <c r="M9" s="3">
        <f>B9*12</f>
        <v>7742.52</v>
      </c>
      <c r="N9" s="3">
        <f>B9*13</f>
        <v>8387.73</v>
      </c>
      <c r="O9" s="3">
        <f>B9*14</f>
        <v>9032.94</v>
      </c>
      <c r="P9" s="3">
        <f>B9*15</f>
        <v>9678.1500000000015</v>
      </c>
      <c r="Q9" s="3">
        <f>B9*16</f>
        <v>10323.36</v>
      </c>
      <c r="R9" s="3">
        <f>B9*17</f>
        <v>10968.57</v>
      </c>
      <c r="S9" s="3">
        <f>B9*18</f>
        <v>11613.78</v>
      </c>
      <c r="T9" s="3">
        <f>B9*19</f>
        <v>12258.990000000002</v>
      </c>
      <c r="U9" s="3">
        <f>B9*20</f>
        <v>12904.2</v>
      </c>
    </row>
    <row r="10" spans="1:21" ht="24.6">
      <c r="A10" s="1" t="s">
        <v>125</v>
      </c>
      <c r="B10" s="3">
        <v>645.21</v>
      </c>
      <c r="C10" s="3">
        <f t="shared" ref="C10" si="38">B10*2</f>
        <v>1290.42</v>
      </c>
      <c r="D10" s="3">
        <f t="shared" ref="D10" si="39">B10*3</f>
        <v>1935.63</v>
      </c>
      <c r="E10" s="3">
        <f t="shared" ref="E10" si="40">B10*4</f>
        <v>2580.84</v>
      </c>
      <c r="F10" s="3">
        <f t="shared" ref="F10" si="41">B10*5</f>
        <v>3226.05</v>
      </c>
      <c r="G10" s="3">
        <f t="shared" ref="G10" si="42">B10*6</f>
        <v>3871.26</v>
      </c>
      <c r="H10" s="3">
        <f t="shared" ref="H10" si="43">B10*7</f>
        <v>4516.47</v>
      </c>
      <c r="I10" s="3">
        <f t="shared" ref="I10" si="44">B10*8</f>
        <v>5161.68</v>
      </c>
      <c r="J10" s="3">
        <f t="shared" ref="J10" si="45">B10*9</f>
        <v>5806.89</v>
      </c>
      <c r="K10" s="3">
        <f t="shared" ref="K10" si="46">B10*10</f>
        <v>6452.1</v>
      </c>
      <c r="L10" s="3">
        <f t="shared" ref="L10" si="47">B10*11</f>
        <v>7097.31</v>
      </c>
      <c r="M10" s="3">
        <f t="shared" ref="M10" si="48">B10*12</f>
        <v>7742.52</v>
      </c>
      <c r="N10" s="3">
        <f t="shared" ref="N10" si="49">B10*13</f>
        <v>8387.73</v>
      </c>
      <c r="O10" s="3">
        <f t="shared" ref="O10" si="50">B10*14</f>
        <v>9032.94</v>
      </c>
      <c r="P10" s="3">
        <f t="shared" ref="P10" si="51">B10*15</f>
        <v>9678.1500000000015</v>
      </c>
      <c r="Q10" s="3">
        <f t="shared" ref="Q10" si="52">B10*16</f>
        <v>10323.36</v>
      </c>
      <c r="R10" s="3">
        <f t="shared" ref="R10" si="53">B10*17</f>
        <v>10968.57</v>
      </c>
      <c r="S10" s="3">
        <f t="shared" ref="S10" si="54">B10*18</f>
        <v>11613.78</v>
      </c>
      <c r="T10" s="3">
        <f t="shared" ref="T10" si="55">B10*19</f>
        <v>12258.990000000002</v>
      </c>
      <c r="U10" s="3">
        <f t="shared" ref="U10" si="56">B10*20</f>
        <v>12904.2</v>
      </c>
    </row>
    <row r="11" spans="1:21" ht="24.6">
      <c r="A11" s="1" t="s">
        <v>32</v>
      </c>
      <c r="B11" s="3">
        <v>645.21</v>
      </c>
      <c r="C11" s="3">
        <f>B11*2</f>
        <v>1290.42</v>
      </c>
      <c r="D11" s="3">
        <f>B11*3</f>
        <v>1935.63</v>
      </c>
      <c r="E11" s="3">
        <f>B11*4</f>
        <v>2580.84</v>
      </c>
      <c r="F11" s="3">
        <f>B11*5</f>
        <v>3226.05</v>
      </c>
      <c r="G11" s="3">
        <f>B11*6</f>
        <v>3871.26</v>
      </c>
      <c r="H11" s="3">
        <f>B11*7</f>
        <v>4516.47</v>
      </c>
      <c r="I11" s="3">
        <f>B11*8</f>
        <v>5161.68</v>
      </c>
      <c r="J11" s="3">
        <f>B11*9</f>
        <v>5806.89</v>
      </c>
      <c r="K11" s="3">
        <f>B11*10</f>
        <v>6452.1</v>
      </c>
      <c r="L11" s="3">
        <f>B11*11</f>
        <v>7097.31</v>
      </c>
      <c r="M11" s="3">
        <f>B11*12</f>
        <v>7742.52</v>
      </c>
      <c r="N11" s="3">
        <f>B11*13</f>
        <v>8387.73</v>
      </c>
      <c r="O11" s="3">
        <f>B11*14</f>
        <v>9032.94</v>
      </c>
      <c r="P11" s="3">
        <f>B11*15</f>
        <v>9678.1500000000015</v>
      </c>
      <c r="Q11" s="3">
        <f>B11*16</f>
        <v>10323.36</v>
      </c>
      <c r="R11" s="3">
        <f>B11*17</f>
        <v>10968.57</v>
      </c>
      <c r="S11" s="3">
        <f>B11*18</f>
        <v>11613.78</v>
      </c>
      <c r="T11" s="3">
        <f>B11*19</f>
        <v>12258.990000000002</v>
      </c>
      <c r="U11" s="3">
        <f>B11*20</f>
        <v>12904.2</v>
      </c>
    </row>
    <row r="12" spans="1:21" ht="24.6">
      <c r="A12" s="1" t="s">
        <v>31</v>
      </c>
      <c r="B12" s="3">
        <v>645.21</v>
      </c>
      <c r="C12" s="3">
        <f t="shared" si="19"/>
        <v>1290.42</v>
      </c>
      <c r="D12" s="3">
        <f t="shared" si="20"/>
        <v>1935.63</v>
      </c>
      <c r="E12" s="3">
        <f t="shared" si="21"/>
        <v>2580.84</v>
      </c>
      <c r="F12" s="3">
        <f t="shared" si="22"/>
        <v>3226.05</v>
      </c>
      <c r="G12" s="3">
        <f t="shared" si="23"/>
        <v>3871.26</v>
      </c>
      <c r="H12" s="3">
        <f t="shared" si="24"/>
        <v>4516.47</v>
      </c>
      <c r="I12" s="3">
        <f t="shared" si="25"/>
        <v>5161.68</v>
      </c>
      <c r="J12" s="3">
        <f t="shared" si="26"/>
        <v>5806.89</v>
      </c>
      <c r="K12" s="3">
        <f t="shared" si="27"/>
        <v>6452.1</v>
      </c>
      <c r="L12" s="3">
        <f t="shared" si="28"/>
        <v>7097.31</v>
      </c>
      <c r="M12" s="3">
        <f t="shared" si="29"/>
        <v>7742.52</v>
      </c>
      <c r="N12" s="3">
        <f t="shared" si="30"/>
        <v>8387.73</v>
      </c>
      <c r="O12" s="3">
        <f t="shared" si="31"/>
        <v>9032.94</v>
      </c>
      <c r="P12" s="3">
        <f t="shared" si="32"/>
        <v>9678.1500000000015</v>
      </c>
      <c r="Q12" s="3">
        <f t="shared" si="33"/>
        <v>10323.36</v>
      </c>
      <c r="R12" s="3">
        <f t="shared" si="34"/>
        <v>10968.57</v>
      </c>
      <c r="S12" s="3">
        <f t="shared" si="35"/>
        <v>11613.78</v>
      </c>
      <c r="T12" s="3">
        <f t="shared" si="36"/>
        <v>12258.990000000002</v>
      </c>
      <c r="U12" s="3">
        <f t="shared" si="37"/>
        <v>12904.2</v>
      </c>
    </row>
    <row r="13" spans="1:21" ht="24.6">
      <c r="A13" s="1" t="s">
        <v>120</v>
      </c>
      <c r="B13" s="3">
        <v>645.21</v>
      </c>
      <c r="C13" s="3">
        <f t="shared" ref="C13" si="57">B13*2</f>
        <v>1290.42</v>
      </c>
      <c r="D13" s="3">
        <f t="shared" ref="D13" si="58">B13*3</f>
        <v>1935.63</v>
      </c>
      <c r="E13" s="3">
        <f t="shared" ref="E13" si="59">B13*4</f>
        <v>2580.84</v>
      </c>
      <c r="F13" s="3">
        <f t="shared" ref="F13" si="60">B13*5</f>
        <v>3226.05</v>
      </c>
      <c r="G13" s="3">
        <f t="shared" ref="G13" si="61">B13*6</f>
        <v>3871.26</v>
      </c>
      <c r="H13" s="3">
        <f t="shared" ref="H13" si="62">B13*7</f>
        <v>4516.47</v>
      </c>
      <c r="I13" s="3">
        <f t="shared" ref="I13" si="63">B13*8</f>
        <v>5161.68</v>
      </c>
      <c r="J13" s="3">
        <f t="shared" ref="J13" si="64">B13*9</f>
        <v>5806.89</v>
      </c>
      <c r="K13" s="3">
        <f t="shared" ref="K13" si="65">B13*10</f>
        <v>6452.1</v>
      </c>
      <c r="L13" s="3">
        <f t="shared" ref="L13" si="66">B13*11</f>
        <v>7097.31</v>
      </c>
      <c r="M13" s="3">
        <f t="shared" ref="M13" si="67">B13*12</f>
        <v>7742.52</v>
      </c>
      <c r="N13" s="3">
        <f t="shared" ref="N13" si="68">B13*13</f>
        <v>8387.73</v>
      </c>
      <c r="O13" s="3">
        <f t="shared" ref="O13" si="69">B13*14</f>
        <v>9032.94</v>
      </c>
      <c r="P13" s="3">
        <f t="shared" ref="P13" si="70">B13*15</f>
        <v>9678.1500000000015</v>
      </c>
      <c r="Q13" s="3">
        <f t="shared" ref="Q13" si="71">B13*16</f>
        <v>10323.36</v>
      </c>
      <c r="R13" s="3">
        <f t="shared" ref="R13" si="72">B13*17</f>
        <v>10968.57</v>
      </c>
      <c r="S13" s="3">
        <f t="shared" ref="S13" si="73">B13*18</f>
        <v>11613.78</v>
      </c>
      <c r="T13" s="3">
        <f t="shared" ref="T13" si="74">B13*19</f>
        <v>12258.990000000002</v>
      </c>
      <c r="U13" s="3">
        <f t="shared" ref="U13" si="75">B13*20</f>
        <v>12904.2</v>
      </c>
    </row>
    <row r="14" spans="1:21" ht="24.6">
      <c r="A14" s="1" t="s">
        <v>119</v>
      </c>
      <c r="B14" s="3">
        <v>645.21</v>
      </c>
      <c r="C14" s="3">
        <f t="shared" si="19"/>
        <v>1290.42</v>
      </c>
      <c r="D14" s="3">
        <f t="shared" si="20"/>
        <v>1935.63</v>
      </c>
      <c r="E14" s="3">
        <f t="shared" si="21"/>
        <v>2580.84</v>
      </c>
      <c r="F14" s="3">
        <f t="shared" si="22"/>
        <v>3226.05</v>
      </c>
      <c r="G14" s="3">
        <f t="shared" si="23"/>
        <v>3871.26</v>
      </c>
      <c r="H14" s="3">
        <f t="shared" si="24"/>
        <v>4516.47</v>
      </c>
      <c r="I14" s="3">
        <f t="shared" si="25"/>
        <v>5161.68</v>
      </c>
      <c r="J14" s="3">
        <f t="shared" si="26"/>
        <v>5806.89</v>
      </c>
      <c r="K14" s="3">
        <f t="shared" si="27"/>
        <v>6452.1</v>
      </c>
      <c r="L14" s="3">
        <f t="shared" si="28"/>
        <v>7097.31</v>
      </c>
      <c r="M14" s="3">
        <f t="shared" si="29"/>
        <v>7742.52</v>
      </c>
      <c r="N14" s="3">
        <f t="shared" si="30"/>
        <v>8387.73</v>
      </c>
      <c r="O14" s="3">
        <f t="shared" si="31"/>
        <v>9032.94</v>
      </c>
      <c r="P14" s="3">
        <f t="shared" si="32"/>
        <v>9678.1500000000015</v>
      </c>
      <c r="Q14" s="3">
        <f t="shared" si="33"/>
        <v>10323.36</v>
      </c>
      <c r="R14" s="3">
        <f t="shared" si="34"/>
        <v>10968.57</v>
      </c>
      <c r="S14" s="3">
        <f t="shared" si="35"/>
        <v>11613.78</v>
      </c>
      <c r="T14" s="3">
        <f t="shared" si="36"/>
        <v>12258.990000000002</v>
      </c>
      <c r="U14" s="3">
        <f t="shared" si="37"/>
        <v>12904.2</v>
      </c>
    </row>
    <row r="15" spans="1:21" ht="24.6">
      <c r="A15" s="1" t="s">
        <v>122</v>
      </c>
      <c r="B15" s="3">
        <v>645.21</v>
      </c>
      <c r="C15" s="3">
        <f t="shared" ref="C15" si="76">B15*2</f>
        <v>1290.42</v>
      </c>
      <c r="D15" s="3">
        <f t="shared" ref="D15" si="77">B15*3</f>
        <v>1935.63</v>
      </c>
      <c r="E15" s="3">
        <f t="shared" ref="E15" si="78">B15*4</f>
        <v>2580.84</v>
      </c>
      <c r="F15" s="3">
        <f t="shared" ref="F15" si="79">B15*5</f>
        <v>3226.05</v>
      </c>
      <c r="G15" s="3">
        <f t="shared" ref="G15" si="80">B15*6</f>
        <v>3871.26</v>
      </c>
      <c r="H15" s="3">
        <f t="shared" ref="H15" si="81">B15*7</f>
        <v>4516.47</v>
      </c>
      <c r="I15" s="3">
        <f t="shared" ref="I15" si="82">B15*8</f>
        <v>5161.68</v>
      </c>
      <c r="J15" s="3">
        <f t="shared" ref="J15" si="83">B15*9</f>
        <v>5806.89</v>
      </c>
      <c r="K15" s="3">
        <f t="shared" ref="K15" si="84">B15*10</f>
        <v>6452.1</v>
      </c>
      <c r="L15" s="3">
        <f t="shared" ref="L15" si="85">B15*11</f>
        <v>7097.31</v>
      </c>
      <c r="M15" s="3">
        <f t="shared" ref="M15" si="86">B15*12</f>
        <v>7742.52</v>
      </c>
      <c r="N15" s="3">
        <f t="shared" ref="N15" si="87">B15*13</f>
        <v>8387.73</v>
      </c>
      <c r="O15" s="3">
        <f t="shared" ref="O15" si="88">B15*14</f>
        <v>9032.94</v>
      </c>
      <c r="P15" s="3">
        <f t="shared" ref="P15" si="89">B15*15</f>
        <v>9678.1500000000015</v>
      </c>
      <c r="Q15" s="3">
        <f t="shared" ref="Q15" si="90">B15*16</f>
        <v>10323.36</v>
      </c>
      <c r="R15" s="3">
        <f t="shared" ref="R15" si="91">B15*17</f>
        <v>10968.57</v>
      </c>
      <c r="S15" s="3">
        <f t="shared" ref="S15" si="92">B15*18</f>
        <v>11613.78</v>
      </c>
      <c r="T15" s="3">
        <f t="shared" ref="T15" si="93">B15*19</f>
        <v>12258.990000000002</v>
      </c>
      <c r="U15" s="3">
        <f t="shared" ref="U15" si="94">B15*20</f>
        <v>12904.2</v>
      </c>
    </row>
    <row r="16" spans="1:21" ht="24.6">
      <c r="A16" s="1" t="s">
        <v>121</v>
      </c>
      <c r="B16" s="3">
        <v>645.21</v>
      </c>
      <c r="C16" s="3">
        <f t="shared" si="19"/>
        <v>1290.42</v>
      </c>
      <c r="D16" s="3">
        <f t="shared" si="20"/>
        <v>1935.63</v>
      </c>
      <c r="E16" s="3">
        <f t="shared" si="21"/>
        <v>2580.84</v>
      </c>
      <c r="F16" s="3">
        <f t="shared" si="22"/>
        <v>3226.05</v>
      </c>
      <c r="G16" s="3">
        <f t="shared" si="23"/>
        <v>3871.26</v>
      </c>
      <c r="H16" s="3">
        <f t="shared" si="24"/>
        <v>4516.47</v>
      </c>
      <c r="I16" s="3">
        <f t="shared" si="25"/>
        <v>5161.68</v>
      </c>
      <c r="J16" s="3">
        <f t="shared" si="26"/>
        <v>5806.89</v>
      </c>
      <c r="K16" s="3">
        <f t="shared" si="27"/>
        <v>6452.1</v>
      </c>
      <c r="L16" s="3">
        <f t="shared" si="28"/>
        <v>7097.31</v>
      </c>
      <c r="M16" s="3">
        <f t="shared" si="29"/>
        <v>7742.52</v>
      </c>
      <c r="N16" s="3">
        <f t="shared" si="30"/>
        <v>8387.73</v>
      </c>
      <c r="O16" s="3">
        <f t="shared" si="31"/>
        <v>9032.94</v>
      </c>
      <c r="P16" s="3">
        <f t="shared" si="32"/>
        <v>9678.1500000000015</v>
      </c>
      <c r="Q16" s="3">
        <f t="shared" si="33"/>
        <v>10323.36</v>
      </c>
      <c r="R16" s="3">
        <f t="shared" si="34"/>
        <v>10968.57</v>
      </c>
      <c r="S16" s="3">
        <f t="shared" si="35"/>
        <v>11613.78</v>
      </c>
      <c r="T16" s="3">
        <f t="shared" si="36"/>
        <v>12258.990000000002</v>
      </c>
      <c r="U16" s="3">
        <f t="shared" si="37"/>
        <v>12904.2</v>
      </c>
    </row>
    <row r="17" spans="1:22" ht="24.6">
      <c r="A17" s="1" t="s">
        <v>118</v>
      </c>
      <c r="B17" s="3">
        <v>645.21</v>
      </c>
      <c r="C17" s="3">
        <f t="shared" si="19"/>
        <v>1290.42</v>
      </c>
      <c r="D17" s="3">
        <f t="shared" si="20"/>
        <v>1935.63</v>
      </c>
      <c r="E17" s="3">
        <f t="shared" si="21"/>
        <v>2580.84</v>
      </c>
      <c r="F17" s="3">
        <f t="shared" si="22"/>
        <v>3226.05</v>
      </c>
      <c r="G17" s="3">
        <f t="shared" si="23"/>
        <v>3871.26</v>
      </c>
      <c r="H17" s="3">
        <f t="shared" si="24"/>
        <v>4516.47</v>
      </c>
      <c r="I17" s="3">
        <f t="shared" si="25"/>
        <v>5161.68</v>
      </c>
      <c r="J17" s="3">
        <f t="shared" si="26"/>
        <v>5806.89</v>
      </c>
      <c r="K17" s="3">
        <f t="shared" si="27"/>
        <v>6452.1</v>
      </c>
      <c r="L17" s="3">
        <f t="shared" si="28"/>
        <v>7097.31</v>
      </c>
      <c r="M17" s="3">
        <f t="shared" si="29"/>
        <v>7742.52</v>
      </c>
      <c r="N17" s="3">
        <f t="shared" si="30"/>
        <v>8387.73</v>
      </c>
      <c r="O17" s="3">
        <f t="shared" si="31"/>
        <v>9032.94</v>
      </c>
      <c r="P17" s="3">
        <f t="shared" si="32"/>
        <v>9678.1500000000015</v>
      </c>
      <c r="Q17" s="3">
        <f t="shared" si="33"/>
        <v>10323.36</v>
      </c>
      <c r="R17" s="3">
        <f t="shared" si="34"/>
        <v>10968.57</v>
      </c>
      <c r="S17" s="3">
        <f t="shared" si="35"/>
        <v>11613.78</v>
      </c>
      <c r="T17" s="3">
        <f t="shared" si="36"/>
        <v>12258.990000000002</v>
      </c>
      <c r="U17" s="3">
        <f t="shared" si="37"/>
        <v>12904.2</v>
      </c>
    </row>
    <row r="18" spans="1:22" ht="24.6">
      <c r="A18" s="1" t="s">
        <v>123</v>
      </c>
      <c r="B18" s="3">
        <v>645.21</v>
      </c>
      <c r="C18" s="3">
        <f t="shared" ref="C18" si="95">B18*2</f>
        <v>1290.42</v>
      </c>
      <c r="D18" s="3">
        <f t="shared" ref="D18" si="96">B18*3</f>
        <v>1935.63</v>
      </c>
      <c r="E18" s="3">
        <f t="shared" ref="E18" si="97">B18*4</f>
        <v>2580.84</v>
      </c>
      <c r="F18" s="3">
        <f t="shared" ref="F18" si="98">B18*5</f>
        <v>3226.05</v>
      </c>
      <c r="G18" s="3">
        <f t="shared" ref="G18" si="99">B18*6</f>
        <v>3871.26</v>
      </c>
      <c r="H18" s="3">
        <f t="shared" ref="H18" si="100">B18*7</f>
        <v>4516.47</v>
      </c>
      <c r="I18" s="3">
        <f t="shared" ref="I18" si="101">B18*8</f>
        <v>5161.68</v>
      </c>
      <c r="J18" s="3">
        <f t="shared" ref="J18" si="102">B18*9</f>
        <v>5806.89</v>
      </c>
      <c r="K18" s="3">
        <f t="shared" ref="K18" si="103">B18*10</f>
        <v>6452.1</v>
      </c>
      <c r="L18" s="3">
        <f t="shared" ref="L18" si="104">B18*11</f>
        <v>7097.31</v>
      </c>
      <c r="M18" s="3">
        <f t="shared" ref="M18" si="105">B18*12</f>
        <v>7742.52</v>
      </c>
      <c r="N18" s="3">
        <f t="shared" ref="N18" si="106">B18*13</f>
        <v>8387.73</v>
      </c>
      <c r="O18" s="3">
        <f t="shared" ref="O18" si="107">B18*14</f>
        <v>9032.94</v>
      </c>
      <c r="P18" s="3">
        <f t="shared" ref="P18" si="108">B18*15</f>
        <v>9678.1500000000015</v>
      </c>
      <c r="Q18" s="3">
        <f t="shared" ref="Q18" si="109">B18*16</f>
        <v>10323.36</v>
      </c>
      <c r="R18" s="3">
        <f t="shared" ref="R18" si="110">B18*17</f>
        <v>10968.57</v>
      </c>
      <c r="S18" s="3">
        <f t="shared" ref="S18" si="111">B18*18</f>
        <v>11613.78</v>
      </c>
      <c r="T18" s="3">
        <f t="shared" ref="T18" si="112">B18*19</f>
        <v>12258.990000000002</v>
      </c>
      <c r="U18" s="3">
        <f t="shared" ref="U18" si="113">B18*20</f>
        <v>12904.2</v>
      </c>
    </row>
    <row r="19" spans="1:22" ht="24.6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 ht="24.6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 ht="24.6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</sheetData>
  <mergeCells count="1">
    <mergeCell ref="B2:U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2792AD-3A6A-4923-BA41-A3A0C59113D2}">
  <dimension ref="A1:AO21"/>
  <sheetViews>
    <sheetView topLeftCell="A2" zoomScale="80" zoomScaleNormal="80" workbookViewId="0">
      <selection activeCell="S13" sqref="S13"/>
    </sheetView>
  </sheetViews>
  <sheetFormatPr defaultRowHeight="24.6"/>
  <cols>
    <col min="1" max="1" width="40.21875" customWidth="1"/>
    <col min="2" max="2" width="9.44140625" style="1" bestFit="1" customWidth="1"/>
    <col min="3" max="8" width="9.44140625" bestFit="1" customWidth="1"/>
    <col min="9" max="9" width="11.21875" bestFit="1" customWidth="1"/>
    <col min="10" max="10" width="9.44140625" bestFit="1" customWidth="1"/>
    <col min="11" max="11" width="11.21875" bestFit="1" customWidth="1"/>
    <col min="12" max="12" width="9.44140625" bestFit="1" customWidth="1"/>
    <col min="13" max="13" width="11.21875" bestFit="1" customWidth="1"/>
    <col min="14" max="14" width="9.44140625" bestFit="1" customWidth="1"/>
    <col min="15" max="15" width="11.21875" bestFit="1" customWidth="1"/>
    <col min="16" max="16" width="9.44140625" bestFit="1" customWidth="1"/>
    <col min="17" max="17" width="11.21875" bestFit="1" customWidth="1"/>
    <col min="18" max="18" width="9.44140625" bestFit="1" customWidth="1"/>
    <col min="19" max="19" width="11.21875" bestFit="1" customWidth="1"/>
    <col min="20" max="20" width="9.44140625" bestFit="1" customWidth="1"/>
    <col min="21" max="21" width="11.21875" bestFit="1" customWidth="1"/>
    <col min="22" max="22" width="9.44140625" bestFit="1" customWidth="1"/>
    <col min="23" max="23" width="11.21875" bestFit="1" customWidth="1"/>
    <col min="24" max="24" width="9.44140625" bestFit="1" customWidth="1"/>
    <col min="25" max="25" width="11.21875" bestFit="1" customWidth="1"/>
    <col min="26" max="26" width="9.44140625" bestFit="1" customWidth="1"/>
    <col min="41" max="41" width="8.88671875" style="1"/>
  </cols>
  <sheetData>
    <row r="1" spans="1:41">
      <c r="B1" s="3"/>
      <c r="C1" s="4"/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  <c r="AB1" s="4"/>
      <c r="AC1" s="4"/>
      <c r="AD1" s="4"/>
      <c r="AE1" s="4"/>
      <c r="AF1" s="4"/>
      <c r="AG1" s="4"/>
      <c r="AH1" s="4"/>
      <c r="AI1" s="4"/>
      <c r="AJ1" s="4"/>
      <c r="AK1" s="4"/>
      <c r="AL1" s="4"/>
      <c r="AM1" s="4"/>
      <c r="AN1" s="4"/>
    </row>
    <row r="2" spans="1:41">
      <c r="A2" s="1"/>
      <c r="B2" s="63" t="s">
        <v>2</v>
      </c>
      <c r="C2" s="63"/>
      <c r="D2" s="63"/>
      <c r="E2" s="63"/>
      <c r="F2" s="63"/>
      <c r="G2" s="63"/>
      <c r="H2" s="63"/>
      <c r="I2" s="63"/>
      <c r="J2" s="63"/>
      <c r="K2" s="63"/>
      <c r="L2" s="63"/>
      <c r="M2" s="63"/>
      <c r="N2" s="63"/>
      <c r="O2" s="63"/>
      <c r="P2" s="63"/>
      <c r="Q2" s="63"/>
      <c r="R2" s="63"/>
      <c r="S2" s="63"/>
      <c r="T2" s="63"/>
      <c r="U2" s="63"/>
      <c r="V2" s="63"/>
      <c r="W2" s="63"/>
      <c r="X2" s="63"/>
      <c r="Y2" s="63"/>
      <c r="Z2" s="63"/>
      <c r="AA2" s="63"/>
      <c r="AB2" s="63"/>
      <c r="AC2" s="63"/>
      <c r="AD2" s="63"/>
      <c r="AE2" s="63"/>
      <c r="AF2" s="63"/>
      <c r="AG2" s="63"/>
      <c r="AH2" s="63"/>
      <c r="AI2" s="63"/>
      <c r="AJ2" s="63"/>
      <c r="AK2" s="63"/>
      <c r="AL2" s="63"/>
      <c r="AM2" s="63"/>
      <c r="AN2" s="63"/>
    </row>
    <row r="3" spans="1:41">
      <c r="A3" s="1"/>
      <c r="B3" s="3" t="s">
        <v>3</v>
      </c>
      <c r="C3" s="3" t="s">
        <v>34</v>
      </c>
      <c r="D3" s="3" t="s">
        <v>4</v>
      </c>
      <c r="E3" s="3" t="s">
        <v>34</v>
      </c>
      <c r="F3" s="3" t="s">
        <v>5</v>
      </c>
      <c r="G3" s="3" t="s">
        <v>34</v>
      </c>
      <c r="H3" s="3" t="s">
        <v>6</v>
      </c>
      <c r="I3" s="3" t="s">
        <v>34</v>
      </c>
      <c r="J3" s="3" t="s">
        <v>7</v>
      </c>
      <c r="K3" s="3" t="s">
        <v>34</v>
      </c>
      <c r="L3" s="3" t="s">
        <v>8</v>
      </c>
      <c r="M3" s="3" t="s">
        <v>34</v>
      </c>
      <c r="N3" s="3" t="s">
        <v>9</v>
      </c>
      <c r="O3" s="3" t="s">
        <v>34</v>
      </c>
      <c r="P3" s="3" t="s">
        <v>10</v>
      </c>
      <c r="Q3" s="3" t="s">
        <v>34</v>
      </c>
      <c r="R3" s="3" t="s">
        <v>11</v>
      </c>
      <c r="S3" s="3" t="s">
        <v>34</v>
      </c>
      <c r="T3" s="3" t="s">
        <v>12</v>
      </c>
      <c r="U3" s="3" t="s">
        <v>34</v>
      </c>
      <c r="V3" s="3" t="s">
        <v>13</v>
      </c>
      <c r="W3" s="3" t="s">
        <v>34</v>
      </c>
      <c r="X3" s="3" t="s">
        <v>14</v>
      </c>
      <c r="Y3" s="3" t="s">
        <v>34</v>
      </c>
      <c r="Z3" s="3" t="s">
        <v>15</v>
      </c>
      <c r="AA3" s="3" t="s">
        <v>34</v>
      </c>
      <c r="AB3" s="3" t="s">
        <v>16</v>
      </c>
      <c r="AC3" s="3" t="s">
        <v>34</v>
      </c>
      <c r="AD3" s="3" t="s">
        <v>17</v>
      </c>
      <c r="AE3" s="3" t="s">
        <v>34</v>
      </c>
      <c r="AF3" s="3" t="s">
        <v>18</v>
      </c>
      <c r="AG3" s="3" t="s">
        <v>34</v>
      </c>
      <c r="AH3" s="3" t="s">
        <v>19</v>
      </c>
      <c r="AI3" s="3" t="s">
        <v>34</v>
      </c>
      <c r="AJ3" s="3" t="s">
        <v>20</v>
      </c>
      <c r="AK3" s="3" t="s">
        <v>34</v>
      </c>
      <c r="AL3" s="3" t="s">
        <v>21</v>
      </c>
      <c r="AM3" s="3" t="s">
        <v>34</v>
      </c>
      <c r="AN3" s="3" t="s">
        <v>22</v>
      </c>
      <c r="AO3" s="2" t="s">
        <v>34</v>
      </c>
    </row>
    <row r="4" spans="1:41">
      <c r="A4" s="1" t="s">
        <v>0</v>
      </c>
      <c r="B4" s="3"/>
      <c r="C4" s="3"/>
      <c r="D4" s="3"/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</row>
    <row r="5" spans="1:41">
      <c r="A5" s="1" t="s">
        <v>126</v>
      </c>
      <c r="B5" s="1">
        <v>25000</v>
      </c>
      <c r="C5" s="3">
        <f t="shared" ref="C5" si="0">B5</f>
        <v>25000</v>
      </c>
      <c r="D5" s="3">
        <v>22222</v>
      </c>
      <c r="E5" s="3">
        <f t="shared" ref="E5" si="1">D5+C5</f>
        <v>47222</v>
      </c>
      <c r="F5" s="3">
        <v>19444</v>
      </c>
      <c r="G5" s="3">
        <f t="shared" ref="G5" si="2">F5+E5</f>
        <v>66666</v>
      </c>
      <c r="H5" s="3">
        <v>16667</v>
      </c>
      <c r="I5" s="3">
        <f t="shared" ref="I5" si="3">H5+G5</f>
        <v>83333</v>
      </c>
      <c r="J5" s="3">
        <v>13889</v>
      </c>
      <c r="K5" s="3">
        <f t="shared" ref="K5" si="4">J5+I5</f>
        <v>97222</v>
      </c>
      <c r="L5" s="37">
        <v>13889</v>
      </c>
      <c r="M5" s="3">
        <f t="shared" ref="M5" si="5">L5+K5</f>
        <v>111111</v>
      </c>
      <c r="N5" s="37">
        <v>13889</v>
      </c>
      <c r="O5" s="3">
        <f t="shared" ref="O5" si="6">N5+M5</f>
        <v>125000</v>
      </c>
      <c r="P5" s="37">
        <v>13889</v>
      </c>
      <c r="Q5" s="3">
        <f t="shared" ref="Q5" si="7">P5+O5</f>
        <v>138889</v>
      </c>
      <c r="R5" s="37">
        <v>13889</v>
      </c>
      <c r="S5" s="3">
        <f t="shared" ref="S5" si="8">R5+Q5</f>
        <v>152778</v>
      </c>
      <c r="T5" s="37">
        <v>13889</v>
      </c>
      <c r="U5" s="3">
        <f t="shared" ref="U5" si="9">T5+S5</f>
        <v>166667</v>
      </c>
      <c r="V5" s="37">
        <v>13889</v>
      </c>
      <c r="W5" s="3">
        <f t="shared" ref="W5" si="10">V5+U5</f>
        <v>180556</v>
      </c>
      <c r="X5" s="37">
        <v>13889</v>
      </c>
      <c r="Y5" s="3">
        <f t="shared" ref="Y5" si="11">X5+W5</f>
        <v>194445</v>
      </c>
      <c r="Z5" s="37">
        <v>13889</v>
      </c>
      <c r="AA5" s="3">
        <f t="shared" ref="AA5" si="12">Z5+Y5</f>
        <v>208334</v>
      </c>
      <c r="AB5" s="37">
        <v>13889</v>
      </c>
      <c r="AC5" s="3">
        <f t="shared" ref="AC5" si="13">AB5+AA5</f>
        <v>222223</v>
      </c>
      <c r="AD5" s="37">
        <v>13889</v>
      </c>
      <c r="AE5" s="3">
        <f t="shared" ref="AE5" si="14">AD5+AC5</f>
        <v>236112</v>
      </c>
      <c r="AF5" s="37">
        <v>13889</v>
      </c>
      <c r="AG5" s="3">
        <f t="shared" ref="AG5" si="15">AF5+AE5</f>
        <v>250001</v>
      </c>
      <c r="AH5" s="37">
        <v>13889</v>
      </c>
      <c r="AI5" s="3">
        <f t="shared" ref="AI5" si="16">AH5+AG5</f>
        <v>263890</v>
      </c>
      <c r="AJ5" s="37">
        <v>13889</v>
      </c>
      <c r="AK5" s="3">
        <f t="shared" ref="AK5" si="17">AJ5+AI5</f>
        <v>277779</v>
      </c>
      <c r="AL5" s="37">
        <v>13889</v>
      </c>
      <c r="AM5" s="3">
        <f t="shared" ref="AM5" si="18">AL5+AK5</f>
        <v>291668</v>
      </c>
      <c r="AN5" s="37">
        <v>13889</v>
      </c>
      <c r="AO5" s="1">
        <f t="shared" ref="AO5" si="19">AN5+AM5</f>
        <v>305557</v>
      </c>
    </row>
    <row r="6" spans="1:41">
      <c r="A6" s="1" t="s">
        <v>28</v>
      </c>
      <c r="B6" s="3">
        <v>22817</v>
      </c>
      <c r="C6" s="3">
        <f>B6</f>
        <v>22817</v>
      </c>
      <c r="D6" s="3">
        <v>20282</v>
      </c>
      <c r="E6" s="3">
        <f>D6+C6</f>
        <v>43099</v>
      </c>
      <c r="F6" s="3">
        <v>17747</v>
      </c>
      <c r="G6" s="3">
        <f>F6+E6</f>
        <v>60846</v>
      </c>
      <c r="H6" s="3">
        <v>15211</v>
      </c>
      <c r="I6" s="3">
        <f>H6+G6</f>
        <v>76057</v>
      </c>
      <c r="J6" s="3">
        <v>12676</v>
      </c>
      <c r="K6" s="3">
        <f t="shared" ref="K6:K18" si="20">J6+I6</f>
        <v>88733</v>
      </c>
      <c r="L6" s="37">
        <v>12676</v>
      </c>
      <c r="M6" s="3">
        <f>L6+K6</f>
        <v>101409</v>
      </c>
      <c r="N6" s="37">
        <v>12676</v>
      </c>
      <c r="O6" s="3">
        <f t="shared" ref="O6:O18" si="21">N6+M6</f>
        <v>114085</v>
      </c>
      <c r="P6" s="37">
        <v>12676</v>
      </c>
      <c r="Q6" s="3">
        <f t="shared" ref="Q6:Q18" si="22">P6+O6</f>
        <v>126761</v>
      </c>
      <c r="R6" s="37">
        <v>12676</v>
      </c>
      <c r="S6" s="3">
        <f t="shared" ref="S6:S18" si="23">R6+Q6</f>
        <v>139437</v>
      </c>
      <c r="T6" s="37">
        <v>12676</v>
      </c>
      <c r="U6" s="3">
        <f t="shared" ref="U6:U18" si="24">T6+S6</f>
        <v>152113</v>
      </c>
      <c r="V6" s="37">
        <v>12676</v>
      </c>
      <c r="W6" s="3">
        <f t="shared" ref="W6:W18" si="25">V6+U6</f>
        <v>164789</v>
      </c>
      <c r="X6" s="37">
        <v>12676</v>
      </c>
      <c r="Y6" s="3">
        <f t="shared" ref="Y6:Y18" si="26">X6+W6</f>
        <v>177465</v>
      </c>
      <c r="Z6" s="37">
        <v>12676</v>
      </c>
      <c r="AA6" s="3">
        <f t="shared" ref="AA6:AA18" si="27">Z6+Y6</f>
        <v>190141</v>
      </c>
      <c r="AB6" s="37">
        <v>12676</v>
      </c>
      <c r="AC6" s="3">
        <f>AB6+AA6</f>
        <v>202817</v>
      </c>
      <c r="AD6" s="37">
        <v>12676</v>
      </c>
      <c r="AE6" s="3">
        <f>AD6+AC6</f>
        <v>215493</v>
      </c>
      <c r="AF6" s="37">
        <v>12676</v>
      </c>
      <c r="AG6" s="3">
        <f t="shared" ref="AG6:AG18" si="28">AF6+AE6</f>
        <v>228169</v>
      </c>
      <c r="AH6" s="37">
        <v>12676</v>
      </c>
      <c r="AI6" s="3">
        <f t="shared" ref="AI6:AI18" si="29">AH6+AG6</f>
        <v>240845</v>
      </c>
      <c r="AJ6" s="37">
        <v>12676</v>
      </c>
      <c r="AK6" s="3">
        <f t="shared" ref="AK6:AK18" si="30">AJ6+AI6</f>
        <v>253521</v>
      </c>
      <c r="AL6" s="37">
        <v>12676</v>
      </c>
      <c r="AM6" s="3">
        <f t="shared" ref="AM6:AM18" si="31">AL6+AK6</f>
        <v>266197</v>
      </c>
      <c r="AN6" s="37">
        <v>12676</v>
      </c>
      <c r="AO6" s="1">
        <f t="shared" ref="AO6:AO18" si="32">AN6+AM6</f>
        <v>278873</v>
      </c>
    </row>
    <row r="7" spans="1:41">
      <c r="A7" s="1" t="s">
        <v>124</v>
      </c>
      <c r="B7" s="1">
        <v>24500</v>
      </c>
      <c r="C7" s="3">
        <f t="shared" ref="C7" si="33">B7</f>
        <v>24500</v>
      </c>
      <c r="D7" s="3">
        <v>21778</v>
      </c>
      <c r="E7" s="3">
        <f t="shared" ref="E7" si="34">D7+C7</f>
        <v>46278</v>
      </c>
      <c r="F7" s="3">
        <v>19056</v>
      </c>
      <c r="G7" s="3">
        <f t="shared" ref="G7" si="35">F7+E7</f>
        <v>65334</v>
      </c>
      <c r="H7" s="3">
        <v>16333</v>
      </c>
      <c r="I7" s="3">
        <f t="shared" ref="I7" si="36">H7+G7</f>
        <v>81667</v>
      </c>
      <c r="J7" s="3">
        <v>13611</v>
      </c>
      <c r="K7" s="3">
        <f t="shared" ref="K7" si="37">J7+I7</f>
        <v>95278</v>
      </c>
      <c r="L7" s="37">
        <v>13611</v>
      </c>
      <c r="M7" s="3">
        <f t="shared" ref="M7" si="38">L7+K7</f>
        <v>108889</v>
      </c>
      <c r="N7" s="37">
        <v>13611</v>
      </c>
      <c r="O7" s="3">
        <f t="shared" ref="O7" si="39">N7+M7</f>
        <v>122500</v>
      </c>
      <c r="P7" s="37">
        <v>13611</v>
      </c>
      <c r="Q7" s="3">
        <f t="shared" ref="Q7" si="40">P7+O7</f>
        <v>136111</v>
      </c>
      <c r="R7" s="37">
        <v>13611</v>
      </c>
      <c r="S7" s="3">
        <f t="shared" ref="S7" si="41">R7+Q7</f>
        <v>149722</v>
      </c>
      <c r="T7" s="37">
        <v>13611</v>
      </c>
      <c r="U7" s="3">
        <f t="shared" ref="U7" si="42">T7+S7</f>
        <v>163333</v>
      </c>
      <c r="V7" s="37">
        <v>13611</v>
      </c>
      <c r="W7" s="3">
        <f t="shared" ref="W7" si="43">V7+U7</f>
        <v>176944</v>
      </c>
      <c r="X7" s="37">
        <v>13611</v>
      </c>
      <c r="Y7" s="3">
        <f t="shared" ref="Y7" si="44">X7+W7</f>
        <v>190555</v>
      </c>
      <c r="Z7" s="37">
        <v>13611</v>
      </c>
      <c r="AA7" s="3">
        <f t="shared" ref="AA7" si="45">Z7+Y7</f>
        <v>204166</v>
      </c>
      <c r="AB7" s="37">
        <v>13611</v>
      </c>
      <c r="AC7" s="3">
        <f t="shared" ref="AC7" si="46">AB7+AA7</f>
        <v>217777</v>
      </c>
      <c r="AD7" s="37">
        <v>13611</v>
      </c>
      <c r="AE7" s="3">
        <f t="shared" ref="AE7" si="47">AD7+AC7</f>
        <v>231388</v>
      </c>
      <c r="AF7" s="37">
        <v>13611</v>
      </c>
      <c r="AG7" s="3">
        <f t="shared" ref="AG7" si="48">AF7+AE7</f>
        <v>244999</v>
      </c>
      <c r="AH7" s="37">
        <v>13611</v>
      </c>
      <c r="AI7" s="3">
        <f t="shared" ref="AI7" si="49">AH7+AG7</f>
        <v>258610</v>
      </c>
      <c r="AJ7" s="37">
        <v>13611</v>
      </c>
      <c r="AK7" s="3">
        <f t="shared" ref="AK7" si="50">AJ7+AI7</f>
        <v>272221</v>
      </c>
      <c r="AL7" s="37">
        <v>13611</v>
      </c>
      <c r="AM7" s="3">
        <f t="shared" ref="AM7" si="51">AL7+AK7</f>
        <v>285832</v>
      </c>
      <c r="AN7" s="37">
        <v>13611</v>
      </c>
      <c r="AO7" s="1">
        <f t="shared" ref="AO7" si="52">AN7+AM7</f>
        <v>299443</v>
      </c>
    </row>
    <row r="8" spans="1:41">
      <c r="A8" s="1" t="s">
        <v>30</v>
      </c>
      <c r="B8" s="3">
        <v>26645</v>
      </c>
      <c r="C8" s="3">
        <f>B8</f>
        <v>26645</v>
      </c>
      <c r="D8" s="3">
        <v>23684</v>
      </c>
      <c r="E8" s="3">
        <f>D8+C8</f>
        <v>50329</v>
      </c>
      <c r="F8" s="3">
        <v>20724</v>
      </c>
      <c r="G8" s="3">
        <f>F8+E8</f>
        <v>71053</v>
      </c>
      <c r="H8" s="3">
        <v>17763</v>
      </c>
      <c r="I8" s="3">
        <f>H8+G8</f>
        <v>88816</v>
      </c>
      <c r="J8" s="3">
        <v>14803</v>
      </c>
      <c r="K8" s="3">
        <f>J8+I8</f>
        <v>103619</v>
      </c>
      <c r="L8" s="37">
        <v>14803</v>
      </c>
      <c r="M8" s="3">
        <f>L8+K8</f>
        <v>118422</v>
      </c>
      <c r="N8" s="37">
        <v>14803</v>
      </c>
      <c r="O8" s="3">
        <f>N8+M8</f>
        <v>133225</v>
      </c>
      <c r="P8" s="37">
        <v>14803</v>
      </c>
      <c r="Q8" s="3">
        <f>P8+O8</f>
        <v>148028</v>
      </c>
      <c r="R8" s="37">
        <v>14803</v>
      </c>
      <c r="S8" s="3">
        <f>R8+Q8</f>
        <v>162831</v>
      </c>
      <c r="T8" s="37">
        <v>14803</v>
      </c>
      <c r="U8" s="3">
        <f>T8+S8</f>
        <v>177634</v>
      </c>
      <c r="V8" s="37">
        <v>14803</v>
      </c>
      <c r="W8" s="3">
        <f>V8+U8</f>
        <v>192437</v>
      </c>
      <c r="X8" s="37">
        <v>14803</v>
      </c>
      <c r="Y8" s="3">
        <f>X8+W8</f>
        <v>207240</v>
      </c>
      <c r="Z8" s="37">
        <v>14803</v>
      </c>
      <c r="AA8" s="3">
        <f>Z8+Y8</f>
        <v>222043</v>
      </c>
      <c r="AB8" s="37">
        <v>14803</v>
      </c>
      <c r="AC8" s="3">
        <f>AB8+AA8</f>
        <v>236846</v>
      </c>
      <c r="AD8" s="37">
        <v>14803</v>
      </c>
      <c r="AE8" s="3">
        <f>AD8+AC8</f>
        <v>251649</v>
      </c>
      <c r="AF8" s="37">
        <v>14803</v>
      </c>
      <c r="AG8" s="3">
        <f>AF8+AE8</f>
        <v>266452</v>
      </c>
      <c r="AH8" s="37">
        <v>14803</v>
      </c>
      <c r="AI8" s="3">
        <f>AH8+AG8</f>
        <v>281255</v>
      </c>
      <c r="AJ8" s="37">
        <v>14803</v>
      </c>
      <c r="AK8" s="3">
        <f>AJ8+AI8</f>
        <v>296058</v>
      </c>
      <c r="AL8" s="37">
        <v>14803</v>
      </c>
      <c r="AM8" s="3">
        <f>AL8+AK8</f>
        <v>310861</v>
      </c>
      <c r="AN8" s="37">
        <v>14803</v>
      </c>
      <c r="AO8" s="1">
        <f>AN8+AM8</f>
        <v>325664</v>
      </c>
    </row>
    <row r="9" spans="1:41">
      <c r="A9" s="1" t="s">
        <v>33</v>
      </c>
      <c r="B9" s="3">
        <v>22000</v>
      </c>
      <c r="C9" s="3">
        <v>16500</v>
      </c>
      <c r="D9" s="3">
        <v>19556</v>
      </c>
      <c r="E9" s="3">
        <f>D9+C9</f>
        <v>36056</v>
      </c>
      <c r="F9" s="3">
        <v>17111</v>
      </c>
      <c r="G9" s="3">
        <f>F9+E9</f>
        <v>53167</v>
      </c>
      <c r="H9" s="3">
        <v>14667</v>
      </c>
      <c r="I9" s="3">
        <f>H9+G9</f>
        <v>67834</v>
      </c>
      <c r="J9" s="3">
        <v>12222</v>
      </c>
      <c r="K9" s="3">
        <f>J9+I9</f>
        <v>80056</v>
      </c>
      <c r="L9" s="37">
        <v>12222</v>
      </c>
      <c r="M9" s="3">
        <f>L9+K9</f>
        <v>92278</v>
      </c>
      <c r="N9" s="37">
        <v>12222</v>
      </c>
      <c r="O9" s="3">
        <f>N9+M9</f>
        <v>104500</v>
      </c>
      <c r="P9" s="37">
        <v>12222</v>
      </c>
      <c r="Q9" s="3">
        <f>P9+O9</f>
        <v>116722</v>
      </c>
      <c r="R9" s="37">
        <v>12222</v>
      </c>
      <c r="S9" s="3">
        <f>R9+Q9</f>
        <v>128944</v>
      </c>
      <c r="T9" s="37">
        <v>12222</v>
      </c>
      <c r="U9" s="3">
        <f>T9+S9</f>
        <v>141166</v>
      </c>
      <c r="V9" s="37">
        <v>12222</v>
      </c>
      <c r="W9" s="3">
        <f>V9+U9</f>
        <v>153388</v>
      </c>
      <c r="X9" s="37">
        <v>12222</v>
      </c>
      <c r="Y9" s="3">
        <f>X9+W9</f>
        <v>165610</v>
      </c>
      <c r="Z9" s="37">
        <v>12222</v>
      </c>
      <c r="AA9" s="3">
        <f>Z9+Y9</f>
        <v>177832</v>
      </c>
      <c r="AB9" s="37">
        <v>12222</v>
      </c>
      <c r="AC9" s="3">
        <f>AB9+AA9</f>
        <v>190054</v>
      </c>
      <c r="AD9" s="37">
        <v>12222</v>
      </c>
      <c r="AE9" s="3">
        <f>AD9+AC9</f>
        <v>202276</v>
      </c>
      <c r="AF9" s="37">
        <v>12222</v>
      </c>
      <c r="AG9" s="3">
        <f>AF9+AE9</f>
        <v>214498</v>
      </c>
      <c r="AH9" s="37">
        <v>12222</v>
      </c>
      <c r="AI9" s="3">
        <f>AH9+AG9</f>
        <v>226720</v>
      </c>
      <c r="AJ9" s="37">
        <v>12222</v>
      </c>
      <c r="AK9" s="3">
        <f>AJ9+AI9</f>
        <v>238942</v>
      </c>
      <c r="AL9" s="37">
        <v>12222</v>
      </c>
      <c r="AM9" s="3">
        <f>AL9+AK9</f>
        <v>251164</v>
      </c>
      <c r="AN9" s="37">
        <v>12222</v>
      </c>
      <c r="AO9" s="1">
        <f>AN9+AM9</f>
        <v>263386</v>
      </c>
    </row>
    <row r="10" spans="1:41">
      <c r="A10" s="1" t="s">
        <v>125</v>
      </c>
      <c r="B10" s="1">
        <v>20000</v>
      </c>
      <c r="C10" s="3">
        <f t="shared" ref="C10" si="53">B10</f>
        <v>20000</v>
      </c>
      <c r="D10" s="3">
        <v>17778</v>
      </c>
      <c r="E10" s="3">
        <f t="shared" ref="E10" si="54">D10+C10</f>
        <v>37778</v>
      </c>
      <c r="F10" s="3">
        <v>15556</v>
      </c>
      <c r="G10" s="3">
        <f t="shared" ref="G10" si="55">F10+E10</f>
        <v>53334</v>
      </c>
      <c r="H10" s="3">
        <v>13333</v>
      </c>
      <c r="I10" s="3">
        <f t="shared" ref="I10" si="56">H10+G10</f>
        <v>66667</v>
      </c>
      <c r="J10" s="3">
        <v>11111</v>
      </c>
      <c r="K10" s="3">
        <f t="shared" ref="K10" si="57">J10+I10</f>
        <v>77778</v>
      </c>
      <c r="L10" s="37">
        <v>11111</v>
      </c>
      <c r="M10" s="3">
        <f t="shared" ref="M10" si="58">L10+K10</f>
        <v>88889</v>
      </c>
      <c r="N10" s="37">
        <v>11111</v>
      </c>
      <c r="O10" s="3">
        <f t="shared" ref="O10" si="59">N10+M10</f>
        <v>100000</v>
      </c>
      <c r="P10" s="37">
        <v>11111</v>
      </c>
      <c r="Q10" s="3">
        <f t="shared" ref="Q10" si="60">P10+O10</f>
        <v>111111</v>
      </c>
      <c r="R10" s="37">
        <v>11111</v>
      </c>
      <c r="S10" s="3">
        <f t="shared" ref="S10" si="61">R10+Q10</f>
        <v>122222</v>
      </c>
      <c r="T10" s="37">
        <v>11111</v>
      </c>
      <c r="U10" s="3">
        <f t="shared" ref="U10" si="62">T10+S10</f>
        <v>133333</v>
      </c>
      <c r="V10" s="37">
        <v>11111</v>
      </c>
      <c r="W10" s="3">
        <f t="shared" ref="W10" si="63">V10+U10</f>
        <v>144444</v>
      </c>
      <c r="X10" s="37">
        <v>11111</v>
      </c>
      <c r="Y10" s="3">
        <f t="shared" ref="Y10" si="64">X10+W10</f>
        <v>155555</v>
      </c>
      <c r="Z10" s="37">
        <v>11111</v>
      </c>
      <c r="AA10" s="3">
        <f t="shared" ref="AA10" si="65">Z10+Y10</f>
        <v>166666</v>
      </c>
      <c r="AB10" s="37">
        <v>11111</v>
      </c>
      <c r="AC10" s="3">
        <f t="shared" ref="AC10" si="66">AB10+AA10</f>
        <v>177777</v>
      </c>
      <c r="AD10" s="37">
        <v>11111</v>
      </c>
      <c r="AE10" s="3">
        <f t="shared" ref="AE10" si="67">AD10+AC10</f>
        <v>188888</v>
      </c>
      <c r="AF10" s="37">
        <v>11111</v>
      </c>
      <c r="AG10" s="3">
        <f t="shared" ref="AG10" si="68">AF10+AE10</f>
        <v>199999</v>
      </c>
      <c r="AH10" s="37">
        <v>11111</v>
      </c>
      <c r="AI10" s="3">
        <f t="shared" ref="AI10" si="69">AH10+AG10</f>
        <v>211110</v>
      </c>
      <c r="AJ10" s="37">
        <v>11111</v>
      </c>
      <c r="AK10" s="3">
        <f t="shared" ref="AK10" si="70">AJ10+AI10</f>
        <v>222221</v>
      </c>
      <c r="AL10" s="37">
        <v>11111</v>
      </c>
      <c r="AM10" s="3">
        <f t="shared" ref="AM10" si="71">AL10+AK10</f>
        <v>233332</v>
      </c>
      <c r="AN10" s="37">
        <v>11111</v>
      </c>
      <c r="AO10" s="1">
        <f t="shared" ref="AO10" si="72">AN10+AM10</f>
        <v>244443</v>
      </c>
    </row>
    <row r="11" spans="1:41">
      <c r="A11" s="1" t="s">
        <v>32</v>
      </c>
      <c r="B11" s="3">
        <v>25645</v>
      </c>
      <c r="C11" s="3">
        <f>B11</f>
        <v>25645</v>
      </c>
      <c r="D11" s="3">
        <v>22796</v>
      </c>
      <c r="E11" s="3">
        <f>D11+C11</f>
        <v>48441</v>
      </c>
      <c r="F11" s="3">
        <v>19946</v>
      </c>
      <c r="G11" s="3">
        <f>F11+E11</f>
        <v>68387</v>
      </c>
      <c r="H11" s="3">
        <v>17097</v>
      </c>
      <c r="I11" s="3">
        <f>H11+G11</f>
        <v>85484</v>
      </c>
      <c r="J11" s="3">
        <v>14247</v>
      </c>
      <c r="K11" s="3">
        <f>J11+I11</f>
        <v>99731</v>
      </c>
      <c r="L11" s="37">
        <v>14247</v>
      </c>
      <c r="M11" s="3">
        <f>L11+K11</f>
        <v>113978</v>
      </c>
      <c r="N11" s="37">
        <v>14247</v>
      </c>
      <c r="O11" s="3">
        <f>N11+M11</f>
        <v>128225</v>
      </c>
      <c r="P11" s="37">
        <v>14247</v>
      </c>
      <c r="Q11" s="3">
        <f>P11+O11</f>
        <v>142472</v>
      </c>
      <c r="R11" s="37">
        <v>14247</v>
      </c>
      <c r="S11" s="3">
        <f>R11+Q11</f>
        <v>156719</v>
      </c>
      <c r="T11" s="37">
        <v>14247</v>
      </c>
      <c r="U11" s="3">
        <f>T11+S11</f>
        <v>170966</v>
      </c>
      <c r="V11" s="37">
        <v>14247</v>
      </c>
      <c r="W11" s="3">
        <f>V11+U11</f>
        <v>185213</v>
      </c>
      <c r="X11" s="37">
        <v>14247</v>
      </c>
      <c r="Y11" s="3">
        <f>X11+W11</f>
        <v>199460</v>
      </c>
      <c r="Z11" s="37">
        <v>14247</v>
      </c>
      <c r="AA11" s="3">
        <f>Z11+Y11</f>
        <v>213707</v>
      </c>
      <c r="AB11" s="37">
        <v>14247</v>
      </c>
      <c r="AC11" s="3">
        <f>AB11+AA11</f>
        <v>227954</v>
      </c>
      <c r="AD11" s="37">
        <v>14247</v>
      </c>
      <c r="AE11" s="3">
        <f>AD11+AC11</f>
        <v>242201</v>
      </c>
      <c r="AF11" s="37">
        <v>14247</v>
      </c>
      <c r="AG11" s="3">
        <f>AF11+AE11</f>
        <v>256448</v>
      </c>
      <c r="AH11" s="37">
        <v>14247</v>
      </c>
      <c r="AI11" s="3">
        <f>AH11+AG11</f>
        <v>270695</v>
      </c>
      <c r="AJ11" s="37">
        <v>14247</v>
      </c>
      <c r="AK11" s="3">
        <f>AJ11+AI11</f>
        <v>284942</v>
      </c>
      <c r="AL11" s="37">
        <v>14247</v>
      </c>
      <c r="AM11" s="3">
        <f>AL11+AK11</f>
        <v>299189</v>
      </c>
      <c r="AN11" s="37">
        <v>14247</v>
      </c>
      <c r="AO11" s="1">
        <f>AN11+AM11</f>
        <v>313436</v>
      </c>
    </row>
    <row r="12" spans="1:41">
      <c r="A12" s="1" t="s">
        <v>31</v>
      </c>
      <c r="B12" s="3">
        <v>25645</v>
      </c>
      <c r="C12" s="3">
        <f t="shared" ref="C12:C18" si="73">B12</f>
        <v>25645</v>
      </c>
      <c r="D12" s="3">
        <v>22796</v>
      </c>
      <c r="E12" s="3">
        <f t="shared" ref="E12:E18" si="74">D12+C12</f>
        <v>48441</v>
      </c>
      <c r="F12" s="3">
        <v>19946</v>
      </c>
      <c r="G12" s="3">
        <f t="shared" ref="G12:G18" si="75">F12+E12</f>
        <v>68387</v>
      </c>
      <c r="H12" s="3">
        <v>17097</v>
      </c>
      <c r="I12" s="3">
        <f t="shared" ref="I12:I18" si="76">H12+G12</f>
        <v>85484</v>
      </c>
      <c r="J12" s="3">
        <v>14247</v>
      </c>
      <c r="K12" s="3">
        <f t="shared" si="20"/>
        <v>99731</v>
      </c>
      <c r="L12" s="37">
        <v>14247</v>
      </c>
      <c r="M12" s="3">
        <f t="shared" ref="M12:M18" si="77">L12+K12</f>
        <v>113978</v>
      </c>
      <c r="N12" s="37">
        <v>14247</v>
      </c>
      <c r="O12" s="3">
        <f t="shared" si="21"/>
        <v>128225</v>
      </c>
      <c r="P12" s="37">
        <v>14247</v>
      </c>
      <c r="Q12" s="3">
        <f t="shared" si="22"/>
        <v>142472</v>
      </c>
      <c r="R12" s="37">
        <v>14247</v>
      </c>
      <c r="S12" s="3">
        <f t="shared" si="23"/>
        <v>156719</v>
      </c>
      <c r="T12" s="37">
        <v>14247</v>
      </c>
      <c r="U12" s="3">
        <f t="shared" si="24"/>
        <v>170966</v>
      </c>
      <c r="V12" s="37">
        <v>14247</v>
      </c>
      <c r="W12" s="3">
        <f t="shared" si="25"/>
        <v>185213</v>
      </c>
      <c r="X12" s="37">
        <v>14247</v>
      </c>
      <c r="Y12" s="3">
        <f t="shared" si="26"/>
        <v>199460</v>
      </c>
      <c r="Z12" s="37">
        <v>14247</v>
      </c>
      <c r="AA12" s="3">
        <f t="shared" si="27"/>
        <v>213707</v>
      </c>
      <c r="AB12" s="37">
        <v>14247</v>
      </c>
      <c r="AC12" s="3">
        <f t="shared" ref="AC12:AC18" si="78">AB12+AA12</f>
        <v>227954</v>
      </c>
      <c r="AD12" s="37">
        <v>14247</v>
      </c>
      <c r="AE12" s="3">
        <f t="shared" ref="AE12:AE18" si="79">AD12+AC12</f>
        <v>242201</v>
      </c>
      <c r="AF12" s="37">
        <v>14247</v>
      </c>
      <c r="AG12" s="3">
        <f t="shared" si="28"/>
        <v>256448</v>
      </c>
      <c r="AH12" s="37">
        <v>14247</v>
      </c>
      <c r="AI12" s="3">
        <f t="shared" si="29"/>
        <v>270695</v>
      </c>
      <c r="AJ12" s="37">
        <v>14247</v>
      </c>
      <c r="AK12" s="3">
        <f t="shared" si="30"/>
        <v>284942</v>
      </c>
      <c r="AL12" s="37">
        <v>14247</v>
      </c>
      <c r="AM12" s="3">
        <f t="shared" si="31"/>
        <v>299189</v>
      </c>
      <c r="AN12" s="37">
        <v>14247</v>
      </c>
      <c r="AO12" s="1">
        <f t="shared" si="32"/>
        <v>313436</v>
      </c>
    </row>
    <row r="13" spans="1:41">
      <c r="A13" s="1" t="s">
        <v>120</v>
      </c>
      <c r="B13" s="3">
        <v>30941</v>
      </c>
      <c r="C13" s="3">
        <f t="shared" si="73"/>
        <v>30941</v>
      </c>
      <c r="D13" s="3">
        <v>27503</v>
      </c>
      <c r="E13" s="3">
        <f t="shared" si="74"/>
        <v>58444</v>
      </c>
      <c r="F13" s="3">
        <v>24065</v>
      </c>
      <c r="G13" s="3">
        <f t="shared" si="75"/>
        <v>82509</v>
      </c>
      <c r="H13" s="3">
        <v>20627</v>
      </c>
      <c r="I13" s="3">
        <f t="shared" si="76"/>
        <v>103136</v>
      </c>
      <c r="J13" s="3">
        <v>17189</v>
      </c>
      <c r="K13" s="3">
        <f t="shared" si="20"/>
        <v>120325</v>
      </c>
      <c r="L13" s="37">
        <v>17189</v>
      </c>
      <c r="M13" s="3">
        <f t="shared" si="77"/>
        <v>137514</v>
      </c>
      <c r="N13" s="37">
        <v>17189</v>
      </c>
      <c r="O13" s="3">
        <f t="shared" si="21"/>
        <v>154703</v>
      </c>
      <c r="P13" s="37">
        <v>17189</v>
      </c>
      <c r="Q13" s="3">
        <f t="shared" si="22"/>
        <v>171892</v>
      </c>
      <c r="R13" s="37">
        <v>17189</v>
      </c>
      <c r="S13" s="3">
        <f t="shared" si="23"/>
        <v>189081</v>
      </c>
      <c r="T13" s="37">
        <v>17189</v>
      </c>
      <c r="U13" s="3">
        <f t="shared" si="24"/>
        <v>206270</v>
      </c>
      <c r="V13" s="37">
        <v>17189</v>
      </c>
      <c r="W13" s="3">
        <f t="shared" si="25"/>
        <v>223459</v>
      </c>
      <c r="X13" s="37">
        <v>17189</v>
      </c>
      <c r="Y13" s="3">
        <f t="shared" si="26"/>
        <v>240648</v>
      </c>
      <c r="Z13" s="37">
        <v>17189</v>
      </c>
      <c r="AA13" s="3">
        <f t="shared" si="27"/>
        <v>257837</v>
      </c>
      <c r="AB13" s="37">
        <v>17189</v>
      </c>
      <c r="AC13" s="3">
        <f t="shared" si="78"/>
        <v>275026</v>
      </c>
      <c r="AD13" s="37">
        <v>17189</v>
      </c>
      <c r="AE13" s="3">
        <f t="shared" si="79"/>
        <v>292215</v>
      </c>
      <c r="AF13" s="37">
        <v>17189</v>
      </c>
      <c r="AG13" s="3">
        <f t="shared" si="28"/>
        <v>309404</v>
      </c>
      <c r="AH13" s="37">
        <v>17189</v>
      </c>
      <c r="AI13" s="3">
        <f t="shared" si="29"/>
        <v>326593</v>
      </c>
      <c r="AJ13" s="37">
        <v>17189</v>
      </c>
      <c r="AK13" s="3">
        <f t="shared" si="30"/>
        <v>343782</v>
      </c>
      <c r="AL13" s="37">
        <v>17189</v>
      </c>
      <c r="AM13" s="3">
        <f t="shared" si="31"/>
        <v>360971</v>
      </c>
      <c r="AN13" s="37">
        <v>17189</v>
      </c>
      <c r="AO13" s="1">
        <f t="shared" si="32"/>
        <v>378160</v>
      </c>
    </row>
    <row r="14" spans="1:41">
      <c r="A14" s="1" t="s">
        <v>119</v>
      </c>
      <c r="B14" s="3">
        <v>30941</v>
      </c>
      <c r="C14" s="3">
        <f t="shared" si="73"/>
        <v>30941</v>
      </c>
      <c r="D14" s="3">
        <v>27503</v>
      </c>
      <c r="E14" s="3">
        <f t="shared" si="74"/>
        <v>58444</v>
      </c>
      <c r="F14" s="3">
        <v>24065</v>
      </c>
      <c r="G14" s="3">
        <f t="shared" si="75"/>
        <v>82509</v>
      </c>
      <c r="H14" s="3">
        <v>20627</v>
      </c>
      <c r="I14" s="3">
        <f t="shared" si="76"/>
        <v>103136</v>
      </c>
      <c r="J14" s="3">
        <v>17189</v>
      </c>
      <c r="K14" s="3">
        <f t="shared" si="20"/>
        <v>120325</v>
      </c>
      <c r="L14" s="37">
        <v>17189</v>
      </c>
      <c r="M14" s="3">
        <f t="shared" si="77"/>
        <v>137514</v>
      </c>
      <c r="N14" s="37">
        <v>17189</v>
      </c>
      <c r="O14" s="3">
        <f t="shared" si="21"/>
        <v>154703</v>
      </c>
      <c r="P14" s="37">
        <v>17189</v>
      </c>
      <c r="Q14" s="3">
        <f t="shared" si="22"/>
        <v>171892</v>
      </c>
      <c r="R14" s="37">
        <v>17189</v>
      </c>
      <c r="S14" s="3">
        <f t="shared" si="23"/>
        <v>189081</v>
      </c>
      <c r="T14" s="37">
        <v>17189</v>
      </c>
      <c r="U14" s="3">
        <f t="shared" si="24"/>
        <v>206270</v>
      </c>
      <c r="V14" s="37">
        <v>17189</v>
      </c>
      <c r="W14" s="3">
        <f t="shared" si="25"/>
        <v>223459</v>
      </c>
      <c r="X14" s="37">
        <v>17189</v>
      </c>
      <c r="Y14" s="3">
        <f t="shared" si="26"/>
        <v>240648</v>
      </c>
      <c r="Z14" s="37">
        <v>17189</v>
      </c>
      <c r="AA14" s="3">
        <f t="shared" si="27"/>
        <v>257837</v>
      </c>
      <c r="AB14" s="37">
        <v>17189</v>
      </c>
      <c r="AC14" s="3">
        <f t="shared" si="78"/>
        <v>275026</v>
      </c>
      <c r="AD14" s="37">
        <v>17189</v>
      </c>
      <c r="AE14" s="3">
        <f t="shared" si="79"/>
        <v>292215</v>
      </c>
      <c r="AF14" s="37">
        <v>17189</v>
      </c>
      <c r="AG14" s="3">
        <f t="shared" si="28"/>
        <v>309404</v>
      </c>
      <c r="AH14" s="37">
        <v>17189</v>
      </c>
      <c r="AI14" s="3">
        <f t="shared" si="29"/>
        <v>326593</v>
      </c>
      <c r="AJ14" s="37">
        <v>17189</v>
      </c>
      <c r="AK14" s="3">
        <f t="shared" si="30"/>
        <v>343782</v>
      </c>
      <c r="AL14" s="37">
        <v>17189</v>
      </c>
      <c r="AM14" s="3">
        <f t="shared" si="31"/>
        <v>360971</v>
      </c>
      <c r="AN14" s="37">
        <v>17189</v>
      </c>
      <c r="AO14" s="1">
        <f t="shared" si="32"/>
        <v>378160</v>
      </c>
    </row>
    <row r="15" spans="1:41">
      <c r="A15" s="1" t="s">
        <v>122</v>
      </c>
      <c r="B15" s="3">
        <v>32645</v>
      </c>
      <c r="C15" s="3">
        <f t="shared" si="73"/>
        <v>32645</v>
      </c>
      <c r="D15" s="3">
        <v>29018</v>
      </c>
      <c r="E15" s="3">
        <f t="shared" si="74"/>
        <v>61663</v>
      </c>
      <c r="F15" s="3">
        <v>25391</v>
      </c>
      <c r="G15" s="3">
        <f t="shared" si="75"/>
        <v>87054</v>
      </c>
      <c r="H15" s="3">
        <v>21763</v>
      </c>
      <c r="I15" s="3">
        <f t="shared" si="76"/>
        <v>108817</v>
      </c>
      <c r="J15" s="3">
        <v>18136</v>
      </c>
      <c r="K15" s="3">
        <f t="shared" si="20"/>
        <v>126953</v>
      </c>
      <c r="L15" s="37">
        <v>18136</v>
      </c>
      <c r="M15" s="3">
        <f t="shared" si="77"/>
        <v>145089</v>
      </c>
      <c r="N15" s="37">
        <v>18136</v>
      </c>
      <c r="O15" s="3">
        <f t="shared" si="21"/>
        <v>163225</v>
      </c>
      <c r="P15" s="37">
        <v>18136</v>
      </c>
      <c r="Q15" s="3">
        <f t="shared" si="22"/>
        <v>181361</v>
      </c>
      <c r="R15" s="37">
        <v>18136</v>
      </c>
      <c r="S15" s="3">
        <f t="shared" si="23"/>
        <v>199497</v>
      </c>
      <c r="T15" s="37">
        <v>18136</v>
      </c>
      <c r="U15" s="3">
        <f t="shared" si="24"/>
        <v>217633</v>
      </c>
      <c r="V15" s="37">
        <v>18136</v>
      </c>
      <c r="W15" s="3">
        <f t="shared" si="25"/>
        <v>235769</v>
      </c>
      <c r="X15" s="37">
        <v>18136</v>
      </c>
      <c r="Y15" s="3">
        <f t="shared" si="26"/>
        <v>253905</v>
      </c>
      <c r="Z15" s="37">
        <v>18136</v>
      </c>
      <c r="AA15" s="3">
        <f t="shared" si="27"/>
        <v>272041</v>
      </c>
      <c r="AB15" s="37">
        <v>18136</v>
      </c>
      <c r="AC15" s="3">
        <f t="shared" si="78"/>
        <v>290177</v>
      </c>
      <c r="AD15" s="37">
        <v>18136</v>
      </c>
      <c r="AE15" s="3">
        <f t="shared" si="79"/>
        <v>308313</v>
      </c>
      <c r="AF15" s="37">
        <v>18136</v>
      </c>
      <c r="AG15" s="3">
        <f t="shared" si="28"/>
        <v>326449</v>
      </c>
      <c r="AH15" s="37">
        <v>18136</v>
      </c>
      <c r="AI15" s="3">
        <f t="shared" si="29"/>
        <v>344585</v>
      </c>
      <c r="AJ15" s="37">
        <v>18136</v>
      </c>
      <c r="AK15" s="3">
        <f t="shared" si="30"/>
        <v>362721</v>
      </c>
      <c r="AL15" s="37">
        <v>18136</v>
      </c>
      <c r="AM15" s="3">
        <f t="shared" si="31"/>
        <v>380857</v>
      </c>
      <c r="AN15" s="37">
        <v>18136</v>
      </c>
      <c r="AO15" s="1">
        <f t="shared" si="32"/>
        <v>398993</v>
      </c>
    </row>
    <row r="16" spans="1:41">
      <c r="A16" s="1" t="s">
        <v>121</v>
      </c>
      <c r="B16" s="3">
        <v>32645</v>
      </c>
      <c r="C16" s="3">
        <f t="shared" si="73"/>
        <v>32645</v>
      </c>
      <c r="D16" s="3">
        <v>29018</v>
      </c>
      <c r="E16" s="3">
        <f t="shared" si="74"/>
        <v>61663</v>
      </c>
      <c r="F16" s="3">
        <v>25391</v>
      </c>
      <c r="G16" s="3">
        <f t="shared" si="75"/>
        <v>87054</v>
      </c>
      <c r="H16" s="3">
        <v>21763</v>
      </c>
      <c r="I16" s="3">
        <f t="shared" si="76"/>
        <v>108817</v>
      </c>
      <c r="J16" s="3">
        <v>18136</v>
      </c>
      <c r="K16" s="3">
        <f t="shared" si="20"/>
        <v>126953</v>
      </c>
      <c r="L16" s="37">
        <v>18136</v>
      </c>
      <c r="M16" s="3">
        <f t="shared" si="77"/>
        <v>145089</v>
      </c>
      <c r="N16" s="37">
        <v>18136</v>
      </c>
      <c r="O16" s="3">
        <f t="shared" si="21"/>
        <v>163225</v>
      </c>
      <c r="P16" s="37">
        <v>18136</v>
      </c>
      <c r="Q16" s="3">
        <f t="shared" si="22"/>
        <v>181361</v>
      </c>
      <c r="R16" s="37">
        <v>18136</v>
      </c>
      <c r="S16" s="3">
        <f t="shared" si="23"/>
        <v>199497</v>
      </c>
      <c r="T16" s="37">
        <v>18136</v>
      </c>
      <c r="U16" s="3">
        <f t="shared" si="24"/>
        <v>217633</v>
      </c>
      <c r="V16" s="37">
        <v>18136</v>
      </c>
      <c r="W16" s="3">
        <f t="shared" si="25"/>
        <v>235769</v>
      </c>
      <c r="X16" s="37">
        <v>18136</v>
      </c>
      <c r="Y16" s="3">
        <f t="shared" si="26"/>
        <v>253905</v>
      </c>
      <c r="Z16" s="37">
        <v>18136</v>
      </c>
      <c r="AA16" s="3">
        <f t="shared" si="27"/>
        <v>272041</v>
      </c>
      <c r="AB16" s="37">
        <v>18136</v>
      </c>
      <c r="AC16" s="3">
        <f t="shared" si="78"/>
        <v>290177</v>
      </c>
      <c r="AD16" s="37">
        <v>18136</v>
      </c>
      <c r="AE16" s="3">
        <f t="shared" si="79"/>
        <v>308313</v>
      </c>
      <c r="AF16" s="37">
        <v>18136</v>
      </c>
      <c r="AG16" s="3">
        <f t="shared" si="28"/>
        <v>326449</v>
      </c>
      <c r="AH16" s="37">
        <v>18136</v>
      </c>
      <c r="AI16" s="3">
        <f t="shared" si="29"/>
        <v>344585</v>
      </c>
      <c r="AJ16" s="37">
        <v>18136</v>
      </c>
      <c r="AK16" s="3">
        <f t="shared" si="30"/>
        <v>362721</v>
      </c>
      <c r="AL16" s="37">
        <v>18136</v>
      </c>
      <c r="AM16" s="3">
        <f t="shared" si="31"/>
        <v>380857</v>
      </c>
      <c r="AN16" s="37">
        <v>18136</v>
      </c>
      <c r="AO16" s="1">
        <f t="shared" si="32"/>
        <v>398993</v>
      </c>
    </row>
    <row r="17" spans="1:41">
      <c r="A17" s="1" t="s">
        <v>118</v>
      </c>
      <c r="B17" s="3">
        <v>32281</v>
      </c>
      <c r="C17" s="3">
        <f t="shared" si="73"/>
        <v>32281</v>
      </c>
      <c r="D17" s="3">
        <v>28694</v>
      </c>
      <c r="E17" s="3">
        <f t="shared" si="74"/>
        <v>60975</v>
      </c>
      <c r="F17" s="3">
        <v>25107</v>
      </c>
      <c r="G17" s="3">
        <f t="shared" si="75"/>
        <v>86082</v>
      </c>
      <c r="H17" s="3">
        <v>21521</v>
      </c>
      <c r="I17" s="3">
        <f t="shared" si="76"/>
        <v>107603</v>
      </c>
      <c r="J17" s="3">
        <v>17934</v>
      </c>
      <c r="K17" s="3">
        <f t="shared" si="20"/>
        <v>125537</v>
      </c>
      <c r="L17" s="37">
        <v>17934</v>
      </c>
      <c r="M17" s="3">
        <f t="shared" si="77"/>
        <v>143471</v>
      </c>
      <c r="N17" s="37">
        <v>17934</v>
      </c>
      <c r="O17" s="3">
        <f t="shared" si="21"/>
        <v>161405</v>
      </c>
      <c r="P17" s="37">
        <v>17934</v>
      </c>
      <c r="Q17" s="3">
        <f t="shared" si="22"/>
        <v>179339</v>
      </c>
      <c r="R17" s="37">
        <v>17934</v>
      </c>
      <c r="S17" s="3">
        <f t="shared" si="23"/>
        <v>197273</v>
      </c>
      <c r="T17" s="37">
        <v>17934</v>
      </c>
      <c r="U17" s="3">
        <f t="shared" si="24"/>
        <v>215207</v>
      </c>
      <c r="V17" s="37">
        <v>17934</v>
      </c>
      <c r="W17" s="3">
        <f t="shared" si="25"/>
        <v>233141</v>
      </c>
      <c r="X17" s="37">
        <v>17934</v>
      </c>
      <c r="Y17" s="3">
        <f t="shared" si="26"/>
        <v>251075</v>
      </c>
      <c r="Z17" s="37">
        <v>17934</v>
      </c>
      <c r="AA17" s="3">
        <f t="shared" si="27"/>
        <v>269009</v>
      </c>
      <c r="AB17" s="37">
        <v>17934</v>
      </c>
      <c r="AC17" s="3">
        <f t="shared" si="78"/>
        <v>286943</v>
      </c>
      <c r="AD17" s="37">
        <v>17934</v>
      </c>
      <c r="AE17" s="3">
        <f t="shared" si="79"/>
        <v>304877</v>
      </c>
      <c r="AF17" s="37">
        <v>17934</v>
      </c>
      <c r="AG17" s="3">
        <f t="shared" si="28"/>
        <v>322811</v>
      </c>
      <c r="AH17" s="37">
        <v>17934</v>
      </c>
      <c r="AI17" s="3">
        <f t="shared" si="29"/>
        <v>340745</v>
      </c>
      <c r="AJ17" s="37">
        <v>17934</v>
      </c>
      <c r="AK17" s="3">
        <f t="shared" si="30"/>
        <v>358679</v>
      </c>
      <c r="AL17" s="37">
        <v>17934</v>
      </c>
      <c r="AM17" s="3">
        <f t="shared" si="31"/>
        <v>376613</v>
      </c>
      <c r="AN17" s="37">
        <v>17934</v>
      </c>
      <c r="AO17" s="1">
        <f t="shared" si="32"/>
        <v>394547</v>
      </c>
    </row>
    <row r="18" spans="1:41">
      <c r="A18" s="1" t="s">
        <v>123</v>
      </c>
      <c r="B18" s="3">
        <v>32281</v>
      </c>
      <c r="C18" s="3">
        <f t="shared" si="73"/>
        <v>32281</v>
      </c>
      <c r="D18" s="3">
        <v>28694</v>
      </c>
      <c r="E18" s="3">
        <f t="shared" si="74"/>
        <v>60975</v>
      </c>
      <c r="F18" s="3">
        <v>25107</v>
      </c>
      <c r="G18" s="3">
        <f t="shared" si="75"/>
        <v>86082</v>
      </c>
      <c r="H18" s="3">
        <v>21521</v>
      </c>
      <c r="I18" s="3">
        <f t="shared" si="76"/>
        <v>107603</v>
      </c>
      <c r="J18" s="3">
        <v>17934</v>
      </c>
      <c r="K18" s="3">
        <f t="shared" si="20"/>
        <v>125537</v>
      </c>
      <c r="L18" s="37">
        <v>17934</v>
      </c>
      <c r="M18" s="3">
        <f t="shared" si="77"/>
        <v>143471</v>
      </c>
      <c r="N18" s="37">
        <v>17934</v>
      </c>
      <c r="O18" s="3">
        <f t="shared" si="21"/>
        <v>161405</v>
      </c>
      <c r="P18" s="37">
        <v>17934</v>
      </c>
      <c r="Q18" s="3">
        <f t="shared" si="22"/>
        <v>179339</v>
      </c>
      <c r="R18" s="37">
        <v>17934</v>
      </c>
      <c r="S18" s="3">
        <f t="shared" si="23"/>
        <v>197273</v>
      </c>
      <c r="T18" s="37">
        <v>17934</v>
      </c>
      <c r="U18" s="3">
        <f t="shared" si="24"/>
        <v>215207</v>
      </c>
      <c r="V18" s="37">
        <v>17934</v>
      </c>
      <c r="W18" s="3">
        <f t="shared" si="25"/>
        <v>233141</v>
      </c>
      <c r="X18" s="37">
        <v>17934</v>
      </c>
      <c r="Y18" s="3">
        <f t="shared" si="26"/>
        <v>251075</v>
      </c>
      <c r="Z18" s="37">
        <v>17934</v>
      </c>
      <c r="AA18" s="3">
        <f t="shared" si="27"/>
        <v>269009</v>
      </c>
      <c r="AB18" s="37">
        <v>17934</v>
      </c>
      <c r="AC18" s="3">
        <f t="shared" si="78"/>
        <v>286943</v>
      </c>
      <c r="AD18" s="37">
        <v>17934</v>
      </c>
      <c r="AE18" s="3">
        <f t="shared" si="79"/>
        <v>304877</v>
      </c>
      <c r="AF18" s="37">
        <v>17934</v>
      </c>
      <c r="AG18" s="3">
        <f t="shared" si="28"/>
        <v>322811</v>
      </c>
      <c r="AH18" s="37">
        <v>17934</v>
      </c>
      <c r="AI18" s="3">
        <f t="shared" si="29"/>
        <v>340745</v>
      </c>
      <c r="AJ18" s="37">
        <v>17934</v>
      </c>
      <c r="AK18" s="3">
        <f t="shared" si="30"/>
        <v>358679</v>
      </c>
      <c r="AL18" s="37">
        <v>17934</v>
      </c>
      <c r="AM18" s="3">
        <f t="shared" si="31"/>
        <v>376613</v>
      </c>
      <c r="AN18" s="37">
        <v>17934</v>
      </c>
      <c r="AO18" s="1">
        <f t="shared" si="32"/>
        <v>394547</v>
      </c>
    </row>
    <row r="19" spans="1:41">
      <c r="A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</row>
    <row r="20" spans="1:41">
      <c r="A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</row>
    <row r="21" spans="1:41">
      <c r="A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</row>
  </sheetData>
  <mergeCells count="1">
    <mergeCell ref="B2:AN2"/>
  </mergeCells>
  <pageMargins left="0.7" right="0.7" top="0.75" bottom="0.75" header="0.3" footer="0.3"/>
  <pageSetup paperSize="9"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54D1FD-52F4-4471-B4E5-F91FFDA00B44}">
  <dimension ref="A2:W21"/>
  <sheetViews>
    <sheetView topLeftCell="A2" zoomScale="76" workbookViewId="0">
      <selection activeCell="K5" sqref="K5"/>
    </sheetView>
  </sheetViews>
  <sheetFormatPr defaultColWidth="8.88671875" defaultRowHeight="24.6"/>
  <cols>
    <col min="1" max="1" width="42.21875" style="15" customWidth="1"/>
    <col min="2" max="16384" width="8.88671875" style="8"/>
  </cols>
  <sheetData>
    <row r="2" spans="1:21">
      <c r="B2" s="64" t="s">
        <v>23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</row>
    <row r="3" spans="1:21">
      <c r="B3" s="8" t="s">
        <v>3</v>
      </c>
      <c r="C3" s="8" t="s">
        <v>4</v>
      </c>
      <c r="D3" s="8" t="s">
        <v>5</v>
      </c>
      <c r="E3" s="8" t="s">
        <v>6</v>
      </c>
      <c r="F3" s="8" t="s">
        <v>7</v>
      </c>
      <c r="G3" s="8" t="s">
        <v>8</v>
      </c>
      <c r="H3" s="8" t="s">
        <v>9</v>
      </c>
      <c r="I3" s="8" t="s">
        <v>10</v>
      </c>
      <c r="J3" s="8" t="s">
        <v>11</v>
      </c>
      <c r="K3" s="8" t="s">
        <v>12</v>
      </c>
      <c r="L3" s="8" t="s">
        <v>13</v>
      </c>
      <c r="M3" s="8" t="s">
        <v>14</v>
      </c>
      <c r="N3" s="8" t="s">
        <v>15</v>
      </c>
      <c r="O3" s="8" t="s">
        <v>16</v>
      </c>
      <c r="P3" s="8" t="s">
        <v>17</v>
      </c>
      <c r="Q3" s="8" t="s">
        <v>18</v>
      </c>
      <c r="R3" s="8" t="s">
        <v>19</v>
      </c>
      <c r="S3" s="8" t="s">
        <v>20</v>
      </c>
      <c r="T3" s="8" t="s">
        <v>21</v>
      </c>
      <c r="U3" s="8" t="s">
        <v>22</v>
      </c>
    </row>
    <row r="4" spans="1:21">
      <c r="A4" s="16" t="s">
        <v>0</v>
      </c>
    </row>
    <row r="5" spans="1:21">
      <c r="A5" s="16" t="s">
        <v>126</v>
      </c>
      <c r="B5" s="8">
        <v>0</v>
      </c>
      <c r="C5" s="8">
        <v>4300</v>
      </c>
      <c r="D5" s="8">
        <v>0</v>
      </c>
      <c r="E5" s="8">
        <f t="shared" ref="E5" si="0">C5*2</f>
        <v>8600</v>
      </c>
      <c r="F5" s="8">
        <v>0</v>
      </c>
      <c r="G5" s="8">
        <f t="shared" ref="G5" si="1">C5*3</f>
        <v>12900</v>
      </c>
      <c r="H5" s="8">
        <v>0</v>
      </c>
      <c r="I5" s="8">
        <f t="shared" ref="I5" si="2">C5*4</f>
        <v>17200</v>
      </c>
      <c r="J5" s="8">
        <v>0</v>
      </c>
      <c r="K5" s="8">
        <f t="shared" ref="K5" si="3">C5*5</f>
        <v>21500</v>
      </c>
      <c r="L5" s="8">
        <v>0</v>
      </c>
      <c r="M5" s="8">
        <f t="shared" ref="M5" si="4">C5*6</f>
        <v>25800</v>
      </c>
      <c r="N5" s="8">
        <v>0</v>
      </c>
      <c r="O5" s="8">
        <f t="shared" ref="O5" si="5">C5*7</f>
        <v>30100</v>
      </c>
      <c r="P5" s="8">
        <v>0</v>
      </c>
      <c r="Q5" s="8">
        <f t="shared" ref="Q5" si="6">C5*8</f>
        <v>34400</v>
      </c>
      <c r="R5" s="8">
        <v>0</v>
      </c>
      <c r="S5" s="8">
        <f t="shared" ref="S5" si="7">C5*9</f>
        <v>38700</v>
      </c>
      <c r="T5" s="8">
        <v>0</v>
      </c>
      <c r="U5" s="8">
        <f t="shared" ref="U5" si="8">C5*10</f>
        <v>43000</v>
      </c>
    </row>
    <row r="6" spans="1:21">
      <c r="A6" s="16" t="s">
        <v>28</v>
      </c>
      <c r="B6" s="8">
        <v>0</v>
      </c>
      <c r="C6" s="8">
        <v>3000</v>
      </c>
      <c r="D6" s="8">
        <v>0</v>
      </c>
      <c r="E6" s="8">
        <f t="shared" ref="E6:E18" si="9">C6*2</f>
        <v>6000</v>
      </c>
      <c r="F6" s="8">
        <v>0</v>
      </c>
      <c r="G6" s="8">
        <f t="shared" ref="G6:G18" si="10">C6*3</f>
        <v>9000</v>
      </c>
      <c r="H6" s="8">
        <v>0</v>
      </c>
      <c r="I6" s="8">
        <f t="shared" ref="I6:I18" si="11">C6*4</f>
        <v>12000</v>
      </c>
      <c r="J6" s="8">
        <v>0</v>
      </c>
      <c r="K6" s="8">
        <f t="shared" ref="K6:K18" si="12">C6*5</f>
        <v>15000</v>
      </c>
      <c r="L6" s="8">
        <v>0</v>
      </c>
      <c r="M6" s="8">
        <f t="shared" ref="M6:M18" si="13">C6*6</f>
        <v>18000</v>
      </c>
      <c r="N6" s="8">
        <v>0</v>
      </c>
      <c r="O6" s="8">
        <f t="shared" ref="O6:O18" si="14">C6*7</f>
        <v>21000</v>
      </c>
      <c r="P6" s="8">
        <v>0</v>
      </c>
      <c r="Q6" s="8">
        <f t="shared" ref="Q6:Q18" si="15">C6*8</f>
        <v>24000</v>
      </c>
      <c r="R6" s="8">
        <v>0</v>
      </c>
      <c r="S6" s="8">
        <f t="shared" ref="S6:S18" si="16">C6*9</f>
        <v>27000</v>
      </c>
      <c r="T6" s="8">
        <v>0</v>
      </c>
      <c r="U6" s="8">
        <f t="shared" ref="U6:U18" si="17">C6*10</f>
        <v>30000</v>
      </c>
    </row>
    <row r="7" spans="1:21">
      <c r="A7" s="16" t="s">
        <v>124</v>
      </c>
      <c r="B7" s="8">
        <v>0</v>
      </c>
      <c r="C7" s="8">
        <v>3200</v>
      </c>
      <c r="D7" s="8">
        <v>0</v>
      </c>
      <c r="E7" s="8">
        <f t="shared" ref="E7" si="18">C7*2</f>
        <v>6400</v>
      </c>
      <c r="F7" s="8">
        <v>0</v>
      </c>
      <c r="G7" s="8">
        <f t="shared" ref="G7" si="19">C7*3</f>
        <v>9600</v>
      </c>
      <c r="H7" s="8">
        <v>0</v>
      </c>
      <c r="I7" s="8">
        <f t="shared" ref="I7" si="20">C7*4</f>
        <v>12800</v>
      </c>
      <c r="J7" s="8">
        <v>0</v>
      </c>
      <c r="K7" s="8">
        <f t="shared" ref="K7" si="21">C7*5</f>
        <v>16000</v>
      </c>
      <c r="L7" s="8">
        <v>0</v>
      </c>
      <c r="M7" s="8">
        <f t="shared" ref="M7" si="22">C7*6</f>
        <v>19200</v>
      </c>
      <c r="N7" s="8">
        <v>0</v>
      </c>
      <c r="O7" s="8">
        <f t="shared" ref="O7" si="23">C7*7</f>
        <v>22400</v>
      </c>
      <c r="P7" s="8">
        <v>0</v>
      </c>
      <c r="Q7" s="8">
        <f t="shared" ref="Q7" si="24">C7*8</f>
        <v>25600</v>
      </c>
      <c r="R7" s="8">
        <v>0</v>
      </c>
      <c r="S7" s="8">
        <f t="shared" ref="S7" si="25">C7*9</f>
        <v>28800</v>
      </c>
      <c r="T7" s="8">
        <v>0</v>
      </c>
      <c r="U7" s="8">
        <f t="shared" ref="U7" si="26">C7*10</f>
        <v>32000</v>
      </c>
    </row>
    <row r="8" spans="1:21">
      <c r="A8" s="16" t="s">
        <v>30</v>
      </c>
      <c r="B8" s="8">
        <v>0</v>
      </c>
      <c r="C8" s="8">
        <v>3000</v>
      </c>
      <c r="D8" s="8">
        <v>0</v>
      </c>
      <c r="E8" s="8">
        <f>C8*2</f>
        <v>6000</v>
      </c>
      <c r="F8" s="8">
        <v>0</v>
      </c>
      <c r="G8" s="8">
        <f>C8*3</f>
        <v>9000</v>
      </c>
      <c r="H8" s="8">
        <v>0</v>
      </c>
      <c r="I8" s="8">
        <f>C8*4</f>
        <v>12000</v>
      </c>
      <c r="J8" s="8">
        <v>0</v>
      </c>
      <c r="K8" s="8">
        <f>C8*5</f>
        <v>15000</v>
      </c>
      <c r="L8" s="8">
        <v>0</v>
      </c>
      <c r="M8" s="8">
        <f>C8*6</f>
        <v>18000</v>
      </c>
      <c r="N8" s="8">
        <v>0</v>
      </c>
      <c r="O8" s="8">
        <f>C8*7</f>
        <v>21000</v>
      </c>
      <c r="P8" s="8">
        <v>0</v>
      </c>
      <c r="Q8" s="8">
        <f>C8*8</f>
        <v>24000</v>
      </c>
      <c r="R8" s="8">
        <v>0</v>
      </c>
      <c r="S8" s="8">
        <f>C8*9</f>
        <v>27000</v>
      </c>
      <c r="T8" s="8">
        <v>0</v>
      </c>
      <c r="U8" s="8">
        <f>C8*10</f>
        <v>30000</v>
      </c>
    </row>
    <row r="9" spans="1:21">
      <c r="A9" s="16" t="s">
        <v>33</v>
      </c>
      <c r="B9" s="8">
        <v>0</v>
      </c>
      <c r="C9" s="8">
        <v>3000</v>
      </c>
      <c r="D9" s="8">
        <v>0</v>
      </c>
      <c r="E9" s="8">
        <f>C9*2</f>
        <v>6000</v>
      </c>
      <c r="F9" s="8">
        <v>0</v>
      </c>
      <c r="G9" s="8">
        <f>C9*3</f>
        <v>9000</v>
      </c>
      <c r="H9" s="8">
        <v>0</v>
      </c>
      <c r="I9" s="8">
        <f>C9*4</f>
        <v>12000</v>
      </c>
      <c r="J9" s="8">
        <v>0</v>
      </c>
      <c r="K9" s="8">
        <f>C9*5</f>
        <v>15000</v>
      </c>
      <c r="L9" s="8">
        <v>0</v>
      </c>
      <c r="M9" s="8">
        <f>C9*6</f>
        <v>18000</v>
      </c>
      <c r="N9" s="8">
        <v>0</v>
      </c>
      <c r="O9" s="8">
        <f>C9*7</f>
        <v>21000</v>
      </c>
      <c r="P9" s="8">
        <v>0</v>
      </c>
      <c r="Q9" s="8">
        <f>C9*8</f>
        <v>24000</v>
      </c>
      <c r="R9" s="8">
        <v>0</v>
      </c>
      <c r="S9" s="8">
        <f>C9*9</f>
        <v>27000</v>
      </c>
      <c r="T9" s="8">
        <v>0</v>
      </c>
      <c r="U9" s="8">
        <f>C9*10</f>
        <v>30000</v>
      </c>
    </row>
    <row r="10" spans="1:21">
      <c r="A10" s="16" t="s">
        <v>125</v>
      </c>
      <c r="B10" s="8">
        <v>0</v>
      </c>
      <c r="C10" s="8">
        <v>1980</v>
      </c>
      <c r="D10" s="8">
        <v>0</v>
      </c>
      <c r="E10" s="8">
        <f t="shared" ref="E10" si="27">C10*2</f>
        <v>3960</v>
      </c>
      <c r="F10" s="8">
        <v>0</v>
      </c>
      <c r="G10" s="8">
        <f t="shared" ref="G10" si="28">C10*3</f>
        <v>5940</v>
      </c>
      <c r="H10" s="8">
        <v>0</v>
      </c>
      <c r="I10" s="8">
        <f t="shared" ref="I10" si="29">C10*4</f>
        <v>7920</v>
      </c>
      <c r="J10" s="8">
        <v>0</v>
      </c>
      <c r="K10" s="8">
        <f t="shared" ref="K10" si="30">C10*5</f>
        <v>9900</v>
      </c>
      <c r="L10" s="8">
        <v>0</v>
      </c>
      <c r="M10" s="8">
        <f t="shared" ref="M10" si="31">C10*6</f>
        <v>11880</v>
      </c>
      <c r="N10" s="8">
        <v>0</v>
      </c>
      <c r="O10" s="8">
        <f t="shared" ref="O10" si="32">C10*7</f>
        <v>13860</v>
      </c>
      <c r="P10" s="8">
        <v>0</v>
      </c>
      <c r="Q10" s="8">
        <f t="shared" ref="Q10" si="33">C10*8</f>
        <v>15840</v>
      </c>
      <c r="R10" s="8">
        <v>0</v>
      </c>
      <c r="S10" s="8">
        <f t="shared" ref="S10" si="34">C10*9</f>
        <v>17820</v>
      </c>
      <c r="T10" s="8">
        <v>0</v>
      </c>
      <c r="U10" s="8">
        <f t="shared" ref="U10" si="35">C10*10</f>
        <v>19800</v>
      </c>
    </row>
    <row r="11" spans="1:21">
      <c r="A11" s="16" t="s">
        <v>32</v>
      </c>
      <c r="B11" s="8">
        <v>0</v>
      </c>
      <c r="C11" s="8">
        <v>4500</v>
      </c>
      <c r="D11" s="8">
        <v>0</v>
      </c>
      <c r="E11" s="8">
        <f>C11*2</f>
        <v>9000</v>
      </c>
      <c r="F11" s="8">
        <v>0</v>
      </c>
      <c r="G11" s="8">
        <f>C11*3</f>
        <v>13500</v>
      </c>
      <c r="H11" s="8">
        <v>0</v>
      </c>
      <c r="I11" s="8">
        <f>C11*4</f>
        <v>18000</v>
      </c>
      <c r="J11" s="8">
        <v>0</v>
      </c>
      <c r="K11" s="8">
        <f>C11*5</f>
        <v>22500</v>
      </c>
      <c r="L11" s="8">
        <v>0</v>
      </c>
      <c r="M11" s="8">
        <f>C11*6</f>
        <v>27000</v>
      </c>
      <c r="N11" s="8">
        <v>0</v>
      </c>
      <c r="O11" s="8">
        <f>C11*7</f>
        <v>31500</v>
      </c>
      <c r="P11" s="8">
        <v>0</v>
      </c>
      <c r="Q11" s="8">
        <f>C11*8</f>
        <v>36000</v>
      </c>
      <c r="R11" s="8">
        <v>0</v>
      </c>
      <c r="S11" s="8">
        <f>C11*9</f>
        <v>40500</v>
      </c>
      <c r="T11" s="8">
        <v>0</v>
      </c>
      <c r="U11" s="8">
        <f>C11*10</f>
        <v>45000</v>
      </c>
    </row>
    <row r="12" spans="1:21">
      <c r="A12" s="16" t="s">
        <v>31</v>
      </c>
      <c r="B12" s="8">
        <v>0</v>
      </c>
      <c r="C12" s="8">
        <v>3000</v>
      </c>
      <c r="D12" s="8">
        <v>0</v>
      </c>
      <c r="E12" s="8">
        <f t="shared" si="9"/>
        <v>6000</v>
      </c>
      <c r="F12" s="8">
        <v>0</v>
      </c>
      <c r="G12" s="8">
        <f t="shared" si="10"/>
        <v>9000</v>
      </c>
      <c r="H12" s="8">
        <v>0</v>
      </c>
      <c r="I12" s="8">
        <f t="shared" si="11"/>
        <v>12000</v>
      </c>
      <c r="J12" s="8">
        <v>0</v>
      </c>
      <c r="K12" s="8">
        <f t="shared" si="12"/>
        <v>15000</v>
      </c>
      <c r="L12" s="8">
        <v>0</v>
      </c>
      <c r="M12" s="8">
        <f t="shared" si="13"/>
        <v>18000</v>
      </c>
      <c r="N12" s="8">
        <v>0</v>
      </c>
      <c r="O12" s="8">
        <f t="shared" si="14"/>
        <v>21000</v>
      </c>
      <c r="P12" s="8">
        <v>0</v>
      </c>
      <c r="Q12" s="8">
        <f t="shared" si="15"/>
        <v>24000</v>
      </c>
      <c r="R12" s="8">
        <v>0</v>
      </c>
      <c r="S12" s="8">
        <f t="shared" si="16"/>
        <v>27000</v>
      </c>
      <c r="T12" s="8">
        <v>0</v>
      </c>
      <c r="U12" s="8">
        <f t="shared" si="17"/>
        <v>30000</v>
      </c>
    </row>
    <row r="13" spans="1:21">
      <c r="A13" s="16" t="s">
        <v>120</v>
      </c>
      <c r="B13" s="8">
        <v>0</v>
      </c>
      <c r="C13" s="8">
        <v>3000</v>
      </c>
      <c r="D13" s="8">
        <v>0</v>
      </c>
      <c r="E13" s="8">
        <f t="shared" si="9"/>
        <v>6000</v>
      </c>
      <c r="F13" s="8">
        <v>0</v>
      </c>
      <c r="G13" s="8">
        <f t="shared" si="10"/>
        <v>9000</v>
      </c>
      <c r="H13" s="8">
        <v>0</v>
      </c>
      <c r="I13" s="8">
        <f t="shared" si="11"/>
        <v>12000</v>
      </c>
      <c r="J13" s="8">
        <v>0</v>
      </c>
      <c r="K13" s="8">
        <f t="shared" si="12"/>
        <v>15000</v>
      </c>
      <c r="L13" s="8">
        <v>0</v>
      </c>
      <c r="M13" s="8">
        <f t="shared" si="13"/>
        <v>18000</v>
      </c>
      <c r="N13" s="8">
        <v>0</v>
      </c>
      <c r="O13" s="8">
        <f t="shared" si="14"/>
        <v>21000</v>
      </c>
      <c r="P13" s="8">
        <v>0</v>
      </c>
      <c r="Q13" s="8">
        <f t="shared" si="15"/>
        <v>24000</v>
      </c>
      <c r="R13" s="8">
        <v>0</v>
      </c>
      <c r="S13" s="8">
        <f t="shared" si="16"/>
        <v>27000</v>
      </c>
      <c r="T13" s="8">
        <v>0</v>
      </c>
      <c r="U13" s="8">
        <f t="shared" si="17"/>
        <v>30000</v>
      </c>
    </row>
    <row r="14" spans="1:21">
      <c r="A14" s="16" t="s">
        <v>119</v>
      </c>
      <c r="B14" s="8">
        <v>0</v>
      </c>
      <c r="C14" s="8">
        <v>3000</v>
      </c>
      <c r="D14" s="8">
        <v>0</v>
      </c>
      <c r="E14" s="8">
        <f t="shared" si="9"/>
        <v>6000</v>
      </c>
      <c r="F14" s="8">
        <v>0</v>
      </c>
      <c r="G14" s="8">
        <f t="shared" si="10"/>
        <v>9000</v>
      </c>
      <c r="H14" s="8">
        <v>0</v>
      </c>
      <c r="I14" s="8">
        <f t="shared" si="11"/>
        <v>12000</v>
      </c>
      <c r="J14" s="8">
        <v>0</v>
      </c>
      <c r="K14" s="8">
        <f t="shared" si="12"/>
        <v>15000</v>
      </c>
      <c r="L14" s="8">
        <v>0</v>
      </c>
      <c r="M14" s="8">
        <f t="shared" si="13"/>
        <v>18000</v>
      </c>
      <c r="N14" s="8">
        <v>0</v>
      </c>
      <c r="O14" s="8">
        <f t="shared" si="14"/>
        <v>21000</v>
      </c>
      <c r="P14" s="8">
        <v>0</v>
      </c>
      <c r="Q14" s="8">
        <f t="shared" si="15"/>
        <v>24000</v>
      </c>
      <c r="R14" s="8">
        <v>0</v>
      </c>
      <c r="S14" s="8">
        <f t="shared" si="16"/>
        <v>27000</v>
      </c>
      <c r="T14" s="8">
        <v>0</v>
      </c>
      <c r="U14" s="8">
        <f t="shared" si="17"/>
        <v>30000</v>
      </c>
    </row>
    <row r="15" spans="1:21">
      <c r="A15" s="16" t="s">
        <v>122</v>
      </c>
      <c r="B15" s="8">
        <v>0</v>
      </c>
      <c r="C15" s="8">
        <v>3000</v>
      </c>
      <c r="D15" s="8">
        <v>0</v>
      </c>
      <c r="E15" s="8">
        <f t="shared" si="9"/>
        <v>6000</v>
      </c>
      <c r="F15" s="8">
        <v>0</v>
      </c>
      <c r="G15" s="8">
        <f t="shared" si="10"/>
        <v>9000</v>
      </c>
      <c r="H15" s="8">
        <v>0</v>
      </c>
      <c r="I15" s="8">
        <f t="shared" si="11"/>
        <v>12000</v>
      </c>
      <c r="J15" s="8">
        <v>0</v>
      </c>
      <c r="K15" s="8">
        <f t="shared" si="12"/>
        <v>15000</v>
      </c>
      <c r="L15" s="8">
        <v>0</v>
      </c>
      <c r="M15" s="8">
        <f t="shared" si="13"/>
        <v>18000</v>
      </c>
      <c r="N15" s="8">
        <v>0</v>
      </c>
      <c r="O15" s="8">
        <f t="shared" si="14"/>
        <v>21000</v>
      </c>
      <c r="P15" s="8">
        <v>0</v>
      </c>
      <c r="Q15" s="8">
        <f t="shared" si="15"/>
        <v>24000</v>
      </c>
      <c r="R15" s="8">
        <v>0</v>
      </c>
      <c r="S15" s="8">
        <f t="shared" si="16"/>
        <v>27000</v>
      </c>
      <c r="T15" s="8">
        <v>0</v>
      </c>
      <c r="U15" s="8">
        <f t="shared" si="17"/>
        <v>30000</v>
      </c>
    </row>
    <row r="16" spans="1:21">
      <c r="A16" s="16" t="s">
        <v>121</v>
      </c>
      <c r="B16" s="8">
        <v>0</v>
      </c>
      <c r="C16" s="8">
        <v>3000</v>
      </c>
      <c r="D16" s="8">
        <v>0</v>
      </c>
      <c r="E16" s="8">
        <f t="shared" si="9"/>
        <v>6000</v>
      </c>
      <c r="F16" s="8">
        <v>0</v>
      </c>
      <c r="G16" s="8">
        <f t="shared" si="10"/>
        <v>9000</v>
      </c>
      <c r="H16" s="8">
        <v>0</v>
      </c>
      <c r="I16" s="8">
        <f t="shared" si="11"/>
        <v>12000</v>
      </c>
      <c r="J16" s="8">
        <v>0</v>
      </c>
      <c r="K16" s="8">
        <f t="shared" si="12"/>
        <v>15000</v>
      </c>
      <c r="L16" s="8">
        <v>0</v>
      </c>
      <c r="M16" s="8">
        <f t="shared" si="13"/>
        <v>18000</v>
      </c>
      <c r="N16" s="8">
        <v>0</v>
      </c>
      <c r="O16" s="8">
        <f t="shared" si="14"/>
        <v>21000</v>
      </c>
      <c r="P16" s="8">
        <v>0</v>
      </c>
      <c r="Q16" s="8">
        <f t="shared" si="15"/>
        <v>24000</v>
      </c>
      <c r="R16" s="8">
        <v>0</v>
      </c>
      <c r="S16" s="8">
        <f t="shared" si="16"/>
        <v>27000</v>
      </c>
      <c r="T16" s="8">
        <v>0</v>
      </c>
      <c r="U16" s="8">
        <f t="shared" si="17"/>
        <v>30000</v>
      </c>
    </row>
    <row r="17" spans="1:23">
      <c r="A17" s="16" t="s">
        <v>118</v>
      </c>
      <c r="B17" s="8">
        <v>0</v>
      </c>
      <c r="C17" s="8">
        <v>3000</v>
      </c>
      <c r="D17" s="8">
        <v>0</v>
      </c>
      <c r="E17" s="8">
        <f t="shared" si="9"/>
        <v>6000</v>
      </c>
      <c r="F17" s="8">
        <v>0</v>
      </c>
      <c r="G17" s="8">
        <f t="shared" si="10"/>
        <v>9000</v>
      </c>
      <c r="H17" s="8">
        <v>0</v>
      </c>
      <c r="I17" s="8">
        <f t="shared" si="11"/>
        <v>12000</v>
      </c>
      <c r="J17" s="8">
        <v>0</v>
      </c>
      <c r="K17" s="8">
        <f t="shared" si="12"/>
        <v>15000</v>
      </c>
      <c r="L17" s="8">
        <v>0</v>
      </c>
      <c r="M17" s="8">
        <f t="shared" si="13"/>
        <v>18000</v>
      </c>
      <c r="N17" s="8">
        <v>0</v>
      </c>
      <c r="O17" s="8">
        <f t="shared" si="14"/>
        <v>21000</v>
      </c>
      <c r="P17" s="8">
        <v>0</v>
      </c>
      <c r="Q17" s="8">
        <f t="shared" si="15"/>
        <v>24000</v>
      </c>
      <c r="R17" s="8">
        <v>0</v>
      </c>
      <c r="S17" s="8">
        <f t="shared" si="16"/>
        <v>27000</v>
      </c>
      <c r="T17" s="8">
        <v>0</v>
      </c>
      <c r="U17" s="8">
        <f t="shared" si="17"/>
        <v>30000</v>
      </c>
    </row>
    <row r="18" spans="1:23">
      <c r="A18" s="16" t="s">
        <v>123</v>
      </c>
      <c r="B18" s="8">
        <v>0</v>
      </c>
      <c r="C18" s="8">
        <v>3000</v>
      </c>
      <c r="D18" s="8">
        <v>0</v>
      </c>
      <c r="E18" s="8">
        <f t="shared" si="9"/>
        <v>6000</v>
      </c>
      <c r="F18" s="8">
        <v>0</v>
      </c>
      <c r="G18" s="8">
        <f t="shared" si="10"/>
        <v>9000</v>
      </c>
      <c r="H18" s="8">
        <v>0</v>
      </c>
      <c r="I18" s="8">
        <f t="shared" si="11"/>
        <v>12000</v>
      </c>
      <c r="J18" s="8">
        <v>0</v>
      </c>
      <c r="K18" s="8">
        <f t="shared" si="12"/>
        <v>15000</v>
      </c>
      <c r="L18" s="8">
        <v>0</v>
      </c>
      <c r="M18" s="8">
        <f t="shared" si="13"/>
        <v>18000</v>
      </c>
      <c r="N18" s="8">
        <v>0</v>
      </c>
      <c r="O18" s="8">
        <f t="shared" si="14"/>
        <v>21000</v>
      </c>
      <c r="P18" s="8">
        <v>0</v>
      </c>
      <c r="Q18" s="8">
        <f t="shared" si="15"/>
        <v>24000</v>
      </c>
      <c r="R18" s="8">
        <v>0</v>
      </c>
      <c r="S18" s="8">
        <f t="shared" si="16"/>
        <v>27000</v>
      </c>
      <c r="T18" s="8">
        <v>0</v>
      </c>
      <c r="U18" s="8">
        <f t="shared" si="17"/>
        <v>30000</v>
      </c>
    </row>
    <row r="19" spans="1:23">
      <c r="A19" s="16"/>
      <c r="B19" s="16"/>
      <c r="C19" s="16"/>
      <c r="D19" s="16"/>
      <c r="E19" s="16"/>
      <c r="F19" s="16"/>
      <c r="G19" s="16"/>
      <c r="H19" s="16"/>
      <c r="I19" s="16"/>
      <c r="J19" s="16"/>
      <c r="K19" s="16"/>
      <c r="L19" s="16"/>
      <c r="M19" s="16"/>
      <c r="N19" s="16"/>
      <c r="O19" s="16"/>
      <c r="P19" s="16"/>
      <c r="Q19" s="16"/>
      <c r="R19" s="16"/>
      <c r="S19" s="16"/>
      <c r="T19" s="16"/>
      <c r="U19" s="16"/>
      <c r="V19" s="16"/>
      <c r="W19" s="16"/>
    </row>
    <row r="20" spans="1:23">
      <c r="A20" s="16"/>
      <c r="B20" s="16"/>
      <c r="C20" s="16"/>
      <c r="D20" s="16"/>
      <c r="E20" s="16"/>
      <c r="F20" s="16"/>
      <c r="G20" s="16"/>
      <c r="H20" s="16"/>
      <c r="I20" s="16"/>
      <c r="J20" s="16"/>
      <c r="K20" s="16"/>
      <c r="L20" s="16"/>
      <c r="M20" s="16"/>
      <c r="N20" s="16"/>
      <c r="O20" s="16"/>
      <c r="P20" s="16"/>
      <c r="Q20" s="16"/>
      <c r="R20" s="16"/>
      <c r="S20" s="16"/>
      <c r="T20" s="16"/>
      <c r="U20" s="16"/>
      <c r="V20" s="16"/>
      <c r="W20" s="16"/>
    </row>
    <row r="21" spans="1:23">
      <c r="A21" s="16"/>
      <c r="B21" s="16"/>
      <c r="C21" s="16"/>
      <c r="D21" s="16"/>
      <c r="E21" s="16"/>
      <c r="F21" s="16"/>
      <c r="G21" s="16"/>
      <c r="H21" s="16"/>
      <c r="I21" s="16"/>
      <c r="J21" s="16"/>
      <c r="K21" s="16"/>
      <c r="L21" s="16"/>
      <c r="M21" s="16"/>
      <c r="N21" s="16"/>
      <c r="O21" s="16"/>
      <c r="P21" s="16"/>
      <c r="Q21" s="16"/>
      <c r="R21" s="16"/>
      <c r="S21" s="16"/>
      <c r="T21" s="16"/>
      <c r="U21" s="16"/>
      <c r="V21" s="16"/>
      <c r="W21" s="16"/>
    </row>
  </sheetData>
  <mergeCells count="1">
    <mergeCell ref="B2:U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95C2C1-6143-44CF-A8AC-C3159B5F2FBC}">
  <dimension ref="A2:AZ21"/>
  <sheetViews>
    <sheetView topLeftCell="A3" zoomScale="87" zoomScaleNormal="70" workbookViewId="0">
      <selection activeCell="Q3" sqref="Q1:Q1048576"/>
    </sheetView>
  </sheetViews>
  <sheetFormatPr defaultRowHeight="24.6"/>
  <cols>
    <col min="1" max="1" width="35.109375" customWidth="1"/>
    <col min="25" max="25" width="10.109375" style="1" bestFit="1" customWidth="1"/>
    <col min="29" max="29" width="8.88671875" style="1"/>
    <col min="33" max="33" width="8.88671875" style="1"/>
    <col min="37" max="37" width="8.88671875" style="1"/>
    <col min="41" max="41" width="8.88671875" style="1"/>
    <col min="45" max="45" width="8.88671875" style="5"/>
    <col min="49" max="49" width="10" style="1" customWidth="1"/>
  </cols>
  <sheetData>
    <row r="2" spans="1:51" ht="33">
      <c r="A2" s="5"/>
      <c r="B2" s="65" t="s">
        <v>23</v>
      </c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"/>
      <c r="W2" s="6"/>
      <c r="X2" s="6"/>
      <c r="Y2" s="5"/>
      <c r="Z2" s="6"/>
      <c r="AA2" s="6"/>
      <c r="AB2" s="6"/>
      <c r="AC2" s="5"/>
      <c r="AD2" s="6"/>
      <c r="AE2" s="6"/>
      <c r="AF2" s="6"/>
      <c r="AG2" s="5"/>
      <c r="AH2" s="6"/>
      <c r="AI2" s="6"/>
      <c r="AJ2" s="6"/>
      <c r="AK2" s="5"/>
      <c r="AL2" s="6"/>
      <c r="AM2" s="6"/>
      <c r="AN2" s="6"/>
      <c r="AO2" s="5"/>
      <c r="AP2" s="6"/>
      <c r="AQ2" s="6"/>
      <c r="AR2" s="6"/>
      <c r="AT2" s="6"/>
      <c r="AU2" s="6"/>
      <c r="AV2" s="6"/>
      <c r="AW2" s="5"/>
      <c r="AX2" s="6"/>
      <c r="AY2" s="6"/>
    </row>
    <row r="3" spans="1:51">
      <c r="A3" s="5"/>
      <c r="B3" s="7">
        <v>10000</v>
      </c>
      <c r="C3" s="7">
        <v>20000</v>
      </c>
      <c r="D3" s="7">
        <v>30000</v>
      </c>
      <c r="E3" s="7">
        <v>40000</v>
      </c>
      <c r="F3" s="7">
        <v>50000</v>
      </c>
      <c r="G3" s="7">
        <v>60000</v>
      </c>
      <c r="H3" s="7">
        <v>70000</v>
      </c>
      <c r="I3" s="7">
        <v>80000</v>
      </c>
      <c r="J3" s="7">
        <v>90000</v>
      </c>
      <c r="K3" s="7">
        <v>100000</v>
      </c>
      <c r="L3" s="7">
        <v>110000</v>
      </c>
      <c r="M3" s="7">
        <v>120000</v>
      </c>
      <c r="N3" s="7">
        <v>130000</v>
      </c>
      <c r="O3" s="7">
        <v>140000</v>
      </c>
      <c r="P3" s="7">
        <v>150000</v>
      </c>
      <c r="Q3" s="7">
        <v>160000</v>
      </c>
      <c r="R3" s="7">
        <v>170000</v>
      </c>
      <c r="S3" s="7">
        <v>180000</v>
      </c>
      <c r="T3" s="7">
        <v>190000</v>
      </c>
      <c r="U3" s="7">
        <v>200000</v>
      </c>
      <c r="V3" s="7">
        <v>210000</v>
      </c>
      <c r="W3" s="7">
        <v>220000</v>
      </c>
      <c r="X3" s="7">
        <v>230000</v>
      </c>
      <c r="Y3" s="7">
        <v>240000</v>
      </c>
      <c r="Z3" s="7">
        <v>250000</v>
      </c>
      <c r="AA3" s="7">
        <v>260000</v>
      </c>
      <c r="AB3" s="7">
        <v>270000</v>
      </c>
      <c r="AC3" s="7">
        <v>280000</v>
      </c>
      <c r="AD3" s="7">
        <v>290000</v>
      </c>
      <c r="AE3" s="7">
        <v>300000</v>
      </c>
      <c r="AF3" s="7">
        <v>310000</v>
      </c>
      <c r="AG3" s="7">
        <v>320000</v>
      </c>
      <c r="AH3" s="7">
        <v>330000</v>
      </c>
      <c r="AI3" s="7">
        <v>340000</v>
      </c>
      <c r="AJ3" s="7">
        <v>350000</v>
      </c>
      <c r="AK3" s="7">
        <v>360000</v>
      </c>
      <c r="AL3" s="7">
        <v>370000</v>
      </c>
      <c r="AM3" s="7">
        <v>380000</v>
      </c>
      <c r="AN3" s="7">
        <v>390000</v>
      </c>
      <c r="AO3" s="7">
        <v>400000</v>
      </c>
      <c r="AP3" s="7">
        <v>410000</v>
      </c>
      <c r="AQ3" s="7">
        <v>420000</v>
      </c>
      <c r="AR3" s="7">
        <v>430000</v>
      </c>
      <c r="AS3" s="7">
        <v>440000</v>
      </c>
      <c r="AT3" s="7">
        <v>450000</v>
      </c>
      <c r="AU3" s="7">
        <v>460000</v>
      </c>
      <c r="AV3" s="7">
        <v>470000</v>
      </c>
      <c r="AW3" s="7">
        <v>480000</v>
      </c>
      <c r="AX3" s="7">
        <v>490000</v>
      </c>
      <c r="AY3" s="7">
        <v>500000</v>
      </c>
    </row>
    <row r="4" spans="1:51">
      <c r="A4" s="5" t="s">
        <v>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V4" s="6"/>
      <c r="W4" s="8"/>
      <c r="X4" s="6"/>
      <c r="Y4" s="5"/>
      <c r="Z4" s="6"/>
      <c r="AA4" s="6"/>
      <c r="AB4" s="6"/>
      <c r="AC4" s="5"/>
      <c r="AD4" s="6"/>
      <c r="AE4" s="6"/>
      <c r="AF4" s="6"/>
      <c r="AG4" s="5"/>
      <c r="AH4" s="6"/>
      <c r="AI4" s="8"/>
      <c r="AJ4" s="6"/>
      <c r="AK4" s="5"/>
      <c r="AL4" s="6"/>
      <c r="AM4" s="6"/>
      <c r="AN4" s="6"/>
      <c r="AO4" s="5"/>
      <c r="AP4" s="6"/>
      <c r="AQ4" s="6"/>
      <c r="AR4" s="6"/>
      <c r="AT4" s="6"/>
      <c r="AU4" s="6"/>
      <c r="AV4" s="6"/>
      <c r="AW4" s="5"/>
      <c r="AX4" s="6"/>
      <c r="AY4" s="6"/>
    </row>
    <row r="5" spans="1:51">
      <c r="A5" s="1" t="s">
        <v>126</v>
      </c>
      <c r="B5" s="8">
        <v>0</v>
      </c>
      <c r="C5" s="8">
        <v>0</v>
      </c>
      <c r="D5" s="8">
        <v>0</v>
      </c>
      <c r="E5" s="8">
        <v>4300</v>
      </c>
      <c r="F5" s="8">
        <v>0</v>
      </c>
      <c r="G5" s="8">
        <v>0</v>
      </c>
      <c r="H5" s="8">
        <v>0</v>
      </c>
      <c r="I5" s="8">
        <f t="shared" ref="I5" si="0">E5*2</f>
        <v>8600</v>
      </c>
      <c r="J5" s="8">
        <v>0</v>
      </c>
      <c r="K5" s="8">
        <v>0</v>
      </c>
      <c r="L5" s="8">
        <v>0</v>
      </c>
      <c r="M5" s="8">
        <f t="shared" ref="M5" si="1">E5*3</f>
        <v>12900</v>
      </c>
      <c r="N5" s="8">
        <v>0</v>
      </c>
      <c r="O5" s="8">
        <v>0</v>
      </c>
      <c r="P5" s="8">
        <v>0</v>
      </c>
      <c r="Q5" s="8">
        <f t="shared" ref="Q5" si="2">E5*4</f>
        <v>17200</v>
      </c>
      <c r="R5" s="8">
        <v>0</v>
      </c>
      <c r="S5" s="8">
        <v>0</v>
      </c>
      <c r="T5" s="8">
        <v>0</v>
      </c>
      <c r="U5" s="8">
        <f t="shared" ref="U5" si="3">E5*5</f>
        <v>21500</v>
      </c>
      <c r="V5" s="8">
        <v>0</v>
      </c>
      <c r="W5" s="8">
        <v>0</v>
      </c>
      <c r="X5" s="8">
        <v>0</v>
      </c>
      <c r="Y5" s="5">
        <f t="shared" ref="Y5" si="4">E5*6</f>
        <v>25800</v>
      </c>
      <c r="Z5" s="8">
        <v>0</v>
      </c>
      <c r="AA5" s="8">
        <v>0</v>
      </c>
      <c r="AB5" s="8">
        <v>0</v>
      </c>
      <c r="AC5" s="5">
        <f t="shared" ref="AC5" si="5">E5*7</f>
        <v>30100</v>
      </c>
      <c r="AD5" s="8">
        <v>0</v>
      </c>
      <c r="AE5" s="8">
        <v>0</v>
      </c>
      <c r="AF5" s="8">
        <v>0</v>
      </c>
      <c r="AG5" s="5">
        <f t="shared" ref="AG5" si="6">E5*8</f>
        <v>34400</v>
      </c>
      <c r="AH5" s="8">
        <v>0</v>
      </c>
      <c r="AI5" s="8">
        <v>0</v>
      </c>
      <c r="AJ5" s="8">
        <v>0</v>
      </c>
      <c r="AK5" s="5">
        <f t="shared" ref="AK5" si="7">E5*9</f>
        <v>38700</v>
      </c>
      <c r="AL5" s="8">
        <v>0</v>
      </c>
      <c r="AM5" s="8">
        <v>0</v>
      </c>
      <c r="AN5" s="8">
        <v>0</v>
      </c>
      <c r="AO5" s="5">
        <f t="shared" ref="AO5" si="8">E5*10</f>
        <v>43000</v>
      </c>
      <c r="AP5" s="8">
        <v>0</v>
      </c>
      <c r="AQ5" s="8">
        <v>0</v>
      </c>
      <c r="AR5" s="8">
        <v>0</v>
      </c>
      <c r="AS5" s="5">
        <f t="shared" ref="AS5" si="9">E5*11</f>
        <v>47300</v>
      </c>
      <c r="AT5" s="8">
        <v>0</v>
      </c>
      <c r="AU5" s="8">
        <v>0</v>
      </c>
      <c r="AV5" s="8">
        <v>0</v>
      </c>
      <c r="AW5" s="5">
        <f t="shared" ref="AW5" si="10">E5*12</f>
        <v>51600</v>
      </c>
      <c r="AX5" s="8">
        <v>0</v>
      </c>
      <c r="AY5" s="8">
        <v>0</v>
      </c>
    </row>
    <row r="6" spans="1:51">
      <c r="A6" s="1" t="s">
        <v>28</v>
      </c>
      <c r="B6" s="8">
        <v>0</v>
      </c>
      <c r="C6" s="8">
        <v>0</v>
      </c>
      <c r="D6" s="8">
        <v>0</v>
      </c>
      <c r="E6" s="8">
        <v>3000</v>
      </c>
      <c r="F6" s="8">
        <v>0</v>
      </c>
      <c r="G6" s="8">
        <v>0</v>
      </c>
      <c r="H6" s="8">
        <v>0</v>
      </c>
      <c r="I6" s="8">
        <f t="shared" ref="I6:I18" si="11">E6*2</f>
        <v>6000</v>
      </c>
      <c r="J6" s="8">
        <v>0</v>
      </c>
      <c r="K6" s="8">
        <v>0</v>
      </c>
      <c r="L6" s="8">
        <v>0</v>
      </c>
      <c r="M6" s="8">
        <f>E6*3</f>
        <v>9000</v>
      </c>
      <c r="N6" s="8">
        <v>0</v>
      </c>
      <c r="O6" s="8">
        <v>0</v>
      </c>
      <c r="P6" s="8">
        <v>0</v>
      </c>
      <c r="Q6" s="8">
        <f t="shared" ref="Q6:Q18" si="12">E6*4</f>
        <v>12000</v>
      </c>
      <c r="R6" s="8">
        <v>0</v>
      </c>
      <c r="S6" s="8">
        <v>0</v>
      </c>
      <c r="T6" s="8">
        <v>0</v>
      </c>
      <c r="U6" s="8">
        <f t="shared" ref="U6:U18" si="13">E6*5</f>
        <v>15000</v>
      </c>
      <c r="V6" s="8">
        <v>0</v>
      </c>
      <c r="W6" s="8">
        <v>0</v>
      </c>
      <c r="X6" s="8">
        <v>0</v>
      </c>
      <c r="Y6" s="5">
        <f t="shared" ref="Y6:Y18" si="14">E6*6</f>
        <v>18000</v>
      </c>
      <c r="Z6" s="8">
        <v>0</v>
      </c>
      <c r="AA6" s="8">
        <v>0</v>
      </c>
      <c r="AB6" s="8">
        <v>0</v>
      </c>
      <c r="AC6" s="5">
        <f t="shared" ref="AC6:AC18" si="15">E6*7</f>
        <v>21000</v>
      </c>
      <c r="AD6" s="8">
        <v>0</v>
      </c>
      <c r="AE6" s="8">
        <v>0</v>
      </c>
      <c r="AF6" s="8">
        <v>0</v>
      </c>
      <c r="AG6" s="5">
        <f t="shared" ref="AG6:AG18" si="16">E6*8</f>
        <v>24000</v>
      </c>
      <c r="AH6" s="8">
        <v>0</v>
      </c>
      <c r="AI6" s="8">
        <v>0</v>
      </c>
      <c r="AJ6" s="8">
        <v>0</v>
      </c>
      <c r="AK6" s="5">
        <f t="shared" ref="AK6:AK18" si="17">E6*9</f>
        <v>27000</v>
      </c>
      <c r="AL6" s="8">
        <v>0</v>
      </c>
      <c r="AM6" s="8">
        <v>0</v>
      </c>
      <c r="AN6" s="8">
        <v>0</v>
      </c>
      <c r="AO6" s="5">
        <f t="shared" ref="AO6:AO18" si="18">E6*10</f>
        <v>30000</v>
      </c>
      <c r="AP6" s="8">
        <v>0</v>
      </c>
      <c r="AQ6" s="8">
        <v>0</v>
      </c>
      <c r="AR6" s="8">
        <v>0</v>
      </c>
      <c r="AS6" s="5">
        <f t="shared" ref="AS6:AS18" si="19">E6*11</f>
        <v>33000</v>
      </c>
      <c r="AT6" s="8">
        <v>0</v>
      </c>
      <c r="AU6" s="8">
        <v>0</v>
      </c>
      <c r="AV6" s="8">
        <v>0</v>
      </c>
      <c r="AW6" s="5">
        <f t="shared" ref="AW6:AW18" si="20">E6*12</f>
        <v>36000</v>
      </c>
      <c r="AX6" s="8">
        <v>0</v>
      </c>
      <c r="AY6" s="8">
        <v>0</v>
      </c>
    </row>
    <row r="7" spans="1:51">
      <c r="A7" s="1" t="s">
        <v>124</v>
      </c>
      <c r="B7" s="8">
        <v>0</v>
      </c>
      <c r="C7" s="8">
        <v>0</v>
      </c>
      <c r="D7" s="8">
        <v>0</v>
      </c>
      <c r="E7" s="8">
        <v>3200</v>
      </c>
      <c r="F7" s="8">
        <v>0</v>
      </c>
      <c r="G7" s="8">
        <v>0</v>
      </c>
      <c r="H7" s="8">
        <v>0</v>
      </c>
      <c r="I7" s="8">
        <f t="shared" ref="I7" si="21">E7*2</f>
        <v>6400</v>
      </c>
      <c r="J7" s="8">
        <v>0</v>
      </c>
      <c r="K7" s="8">
        <v>0</v>
      </c>
      <c r="L7" s="8">
        <v>0</v>
      </c>
      <c r="M7" s="8">
        <f t="shared" ref="M7" si="22">E7*3</f>
        <v>9600</v>
      </c>
      <c r="N7" s="8">
        <v>0</v>
      </c>
      <c r="O7" s="8">
        <v>0</v>
      </c>
      <c r="P7" s="8">
        <v>0</v>
      </c>
      <c r="Q7" s="8">
        <f t="shared" ref="Q7" si="23">E7*4</f>
        <v>12800</v>
      </c>
      <c r="R7" s="8">
        <v>0</v>
      </c>
      <c r="S7" s="8">
        <v>0</v>
      </c>
      <c r="T7" s="8">
        <v>0</v>
      </c>
      <c r="U7" s="8">
        <f t="shared" ref="U7" si="24">E7*5</f>
        <v>16000</v>
      </c>
      <c r="V7" s="8">
        <v>0</v>
      </c>
      <c r="W7" s="8">
        <v>0</v>
      </c>
      <c r="X7" s="8">
        <v>0</v>
      </c>
      <c r="Y7" s="5">
        <f t="shared" ref="Y7" si="25">E7*6</f>
        <v>19200</v>
      </c>
      <c r="Z7" s="8">
        <v>0</v>
      </c>
      <c r="AA7" s="8">
        <v>0</v>
      </c>
      <c r="AB7" s="8">
        <v>0</v>
      </c>
      <c r="AC7" s="5">
        <f t="shared" ref="AC7" si="26">E7*7</f>
        <v>22400</v>
      </c>
      <c r="AD7" s="8">
        <v>0</v>
      </c>
      <c r="AE7" s="8">
        <v>0</v>
      </c>
      <c r="AF7" s="8">
        <v>0</v>
      </c>
      <c r="AG7" s="5">
        <f t="shared" ref="AG7" si="27">E7*8</f>
        <v>25600</v>
      </c>
      <c r="AH7" s="8">
        <v>0</v>
      </c>
      <c r="AI7" s="8">
        <v>0</v>
      </c>
      <c r="AJ7" s="8">
        <v>0</v>
      </c>
      <c r="AK7" s="5">
        <f t="shared" ref="AK7" si="28">E7*9</f>
        <v>28800</v>
      </c>
      <c r="AL7" s="8">
        <v>0</v>
      </c>
      <c r="AM7" s="8">
        <v>0</v>
      </c>
      <c r="AN7" s="8">
        <v>0</v>
      </c>
      <c r="AO7" s="5">
        <f t="shared" ref="AO7" si="29">E7*10</f>
        <v>32000</v>
      </c>
      <c r="AP7" s="8">
        <v>0</v>
      </c>
      <c r="AQ7" s="8">
        <v>0</v>
      </c>
      <c r="AR7" s="8">
        <v>0</v>
      </c>
      <c r="AS7" s="5">
        <f t="shared" ref="AS7" si="30">E7*11</f>
        <v>35200</v>
      </c>
      <c r="AT7" s="8">
        <v>0</v>
      </c>
      <c r="AU7" s="8">
        <v>0</v>
      </c>
      <c r="AV7" s="8">
        <v>0</v>
      </c>
      <c r="AW7" s="5">
        <f t="shared" ref="AW7" si="31">E7*12</f>
        <v>38400</v>
      </c>
      <c r="AX7" s="8">
        <v>0</v>
      </c>
      <c r="AY7" s="8">
        <v>0</v>
      </c>
    </row>
    <row r="8" spans="1:51">
      <c r="A8" s="1" t="s">
        <v>30</v>
      </c>
      <c r="B8" s="8">
        <v>0</v>
      </c>
      <c r="C8" s="8">
        <v>0</v>
      </c>
      <c r="D8" s="8">
        <v>0</v>
      </c>
      <c r="E8" s="8">
        <v>3000</v>
      </c>
      <c r="F8" s="8">
        <v>0</v>
      </c>
      <c r="G8" s="8">
        <v>0</v>
      </c>
      <c r="H8" s="8">
        <v>0</v>
      </c>
      <c r="I8" s="8">
        <f>E8*2</f>
        <v>6000</v>
      </c>
      <c r="J8" s="8">
        <v>0</v>
      </c>
      <c r="K8" s="8">
        <v>0</v>
      </c>
      <c r="L8" s="8">
        <v>0</v>
      </c>
      <c r="M8" s="8">
        <f>E8*3</f>
        <v>9000</v>
      </c>
      <c r="N8" s="8">
        <v>0</v>
      </c>
      <c r="O8" s="8">
        <v>0</v>
      </c>
      <c r="P8" s="8">
        <v>0</v>
      </c>
      <c r="Q8" s="8">
        <f t="shared" si="12"/>
        <v>12000</v>
      </c>
      <c r="R8" s="8">
        <v>0</v>
      </c>
      <c r="S8" s="8">
        <v>0</v>
      </c>
      <c r="T8" s="8">
        <v>0</v>
      </c>
      <c r="U8" s="8">
        <f t="shared" si="13"/>
        <v>15000</v>
      </c>
      <c r="V8" s="8">
        <v>0</v>
      </c>
      <c r="W8" s="8">
        <v>0</v>
      </c>
      <c r="X8" s="8">
        <v>0</v>
      </c>
      <c r="Y8" s="5">
        <f t="shared" si="14"/>
        <v>18000</v>
      </c>
      <c r="Z8" s="8">
        <v>0</v>
      </c>
      <c r="AA8" s="8">
        <v>0</v>
      </c>
      <c r="AB8" s="8">
        <v>0</v>
      </c>
      <c r="AC8" s="5">
        <f t="shared" si="15"/>
        <v>21000</v>
      </c>
      <c r="AD8" s="8">
        <v>0</v>
      </c>
      <c r="AE8" s="8">
        <v>0</v>
      </c>
      <c r="AF8" s="8">
        <v>0</v>
      </c>
      <c r="AG8" s="5">
        <f t="shared" si="16"/>
        <v>24000</v>
      </c>
      <c r="AH8" s="8">
        <v>0</v>
      </c>
      <c r="AI8" s="8">
        <v>0</v>
      </c>
      <c r="AJ8" s="8">
        <v>0</v>
      </c>
      <c r="AK8" s="5">
        <f t="shared" si="17"/>
        <v>27000</v>
      </c>
      <c r="AL8" s="8">
        <v>0</v>
      </c>
      <c r="AM8" s="8">
        <v>0</v>
      </c>
      <c r="AN8" s="8">
        <v>0</v>
      </c>
      <c r="AO8" s="5">
        <f t="shared" si="18"/>
        <v>30000</v>
      </c>
      <c r="AP8" s="8">
        <v>0</v>
      </c>
      <c r="AQ8" s="8">
        <v>0</v>
      </c>
      <c r="AR8" s="8">
        <v>0</v>
      </c>
      <c r="AS8" s="5">
        <f t="shared" si="19"/>
        <v>33000</v>
      </c>
      <c r="AT8" s="8">
        <v>0</v>
      </c>
      <c r="AU8" s="8">
        <v>0</v>
      </c>
      <c r="AV8" s="8">
        <v>0</v>
      </c>
      <c r="AW8" s="5">
        <f t="shared" si="20"/>
        <v>36000</v>
      </c>
      <c r="AX8" s="8">
        <v>0</v>
      </c>
      <c r="AY8" s="8">
        <v>0</v>
      </c>
    </row>
    <row r="9" spans="1:51">
      <c r="A9" s="1" t="s">
        <v>33</v>
      </c>
      <c r="B9" s="8">
        <v>0</v>
      </c>
      <c r="C9" s="8">
        <v>0</v>
      </c>
      <c r="D9" s="8">
        <v>0</v>
      </c>
      <c r="E9" s="8">
        <v>3000</v>
      </c>
      <c r="F9" s="8">
        <v>0</v>
      </c>
      <c r="G9" s="8">
        <v>0</v>
      </c>
      <c r="H9" s="8">
        <v>0</v>
      </c>
      <c r="I9" s="8">
        <f>E9*2</f>
        <v>6000</v>
      </c>
      <c r="J9" s="8">
        <v>0</v>
      </c>
      <c r="K9" s="8">
        <v>0</v>
      </c>
      <c r="L9" s="8">
        <v>0</v>
      </c>
      <c r="M9" s="8">
        <f t="shared" ref="M9:M10" si="32">E9*3</f>
        <v>9000</v>
      </c>
      <c r="N9" s="8">
        <v>0</v>
      </c>
      <c r="O9" s="8">
        <v>0</v>
      </c>
      <c r="P9" s="8">
        <v>0</v>
      </c>
      <c r="Q9" s="8">
        <f t="shared" si="12"/>
        <v>12000</v>
      </c>
      <c r="R9" s="8">
        <v>0</v>
      </c>
      <c r="S9" s="8">
        <v>0</v>
      </c>
      <c r="T9" s="8">
        <v>0</v>
      </c>
      <c r="U9" s="8">
        <f t="shared" si="13"/>
        <v>15000</v>
      </c>
      <c r="V9" s="8">
        <v>0</v>
      </c>
      <c r="W9" s="8">
        <v>0</v>
      </c>
      <c r="X9" s="8">
        <v>0</v>
      </c>
      <c r="Y9" s="5">
        <f t="shared" si="14"/>
        <v>18000</v>
      </c>
      <c r="Z9" s="8">
        <v>0</v>
      </c>
      <c r="AA9" s="8">
        <v>0</v>
      </c>
      <c r="AB9" s="8">
        <v>0</v>
      </c>
      <c r="AC9" s="5">
        <f t="shared" si="15"/>
        <v>21000</v>
      </c>
      <c r="AD9" s="8">
        <v>0</v>
      </c>
      <c r="AE9" s="8">
        <v>0</v>
      </c>
      <c r="AF9" s="8">
        <v>0</v>
      </c>
      <c r="AG9" s="5">
        <f t="shared" si="16"/>
        <v>24000</v>
      </c>
      <c r="AH9" s="8">
        <v>0</v>
      </c>
      <c r="AI9" s="8">
        <v>0</v>
      </c>
      <c r="AJ9" s="8">
        <v>0</v>
      </c>
      <c r="AK9" s="5">
        <f t="shared" si="17"/>
        <v>27000</v>
      </c>
      <c r="AL9" s="8">
        <v>0</v>
      </c>
      <c r="AM9" s="8">
        <v>0</v>
      </c>
      <c r="AN9" s="8">
        <v>0</v>
      </c>
      <c r="AO9" s="5">
        <f t="shared" si="18"/>
        <v>30000</v>
      </c>
      <c r="AP9" s="8">
        <v>0</v>
      </c>
      <c r="AQ9" s="8">
        <v>0</v>
      </c>
      <c r="AR9" s="8">
        <v>0</v>
      </c>
      <c r="AS9" s="5">
        <f t="shared" si="19"/>
        <v>33000</v>
      </c>
      <c r="AT9" s="8">
        <v>0</v>
      </c>
      <c r="AU9" s="8">
        <v>0</v>
      </c>
      <c r="AV9" s="8">
        <v>0</v>
      </c>
      <c r="AW9" s="5">
        <f t="shared" si="20"/>
        <v>36000</v>
      </c>
      <c r="AX9" s="8">
        <v>0</v>
      </c>
      <c r="AY9" s="8">
        <v>0</v>
      </c>
    </row>
    <row r="10" spans="1:51">
      <c r="A10" s="1" t="s">
        <v>125</v>
      </c>
      <c r="B10" s="8">
        <v>0</v>
      </c>
      <c r="C10" s="8">
        <v>0</v>
      </c>
      <c r="D10" s="8">
        <v>0</v>
      </c>
      <c r="E10" s="17">
        <v>3000</v>
      </c>
      <c r="F10" s="8">
        <v>0</v>
      </c>
      <c r="G10" s="8">
        <v>0</v>
      </c>
      <c r="H10" s="8">
        <v>0</v>
      </c>
      <c r="I10" s="8">
        <f t="shared" ref="I10" si="33">E10*2</f>
        <v>6000</v>
      </c>
      <c r="J10" s="8">
        <v>0</v>
      </c>
      <c r="K10" s="8">
        <v>0</v>
      </c>
      <c r="L10" s="8">
        <v>0</v>
      </c>
      <c r="M10" s="8">
        <f t="shared" si="32"/>
        <v>9000</v>
      </c>
      <c r="N10" s="8">
        <v>0</v>
      </c>
      <c r="O10" s="8">
        <v>0</v>
      </c>
      <c r="P10" s="8">
        <v>0</v>
      </c>
      <c r="Q10" s="8">
        <f t="shared" ref="Q10" si="34">E10*4</f>
        <v>12000</v>
      </c>
      <c r="R10" s="8">
        <v>0</v>
      </c>
      <c r="S10" s="8">
        <v>0</v>
      </c>
      <c r="T10" s="8">
        <v>0</v>
      </c>
      <c r="U10" s="8">
        <f t="shared" ref="U10" si="35">E10*5</f>
        <v>15000</v>
      </c>
      <c r="V10" s="8">
        <v>0</v>
      </c>
      <c r="W10" s="8">
        <v>0</v>
      </c>
      <c r="X10" s="8">
        <v>0</v>
      </c>
      <c r="Y10" s="5">
        <f t="shared" ref="Y10" si="36">E10*6</f>
        <v>18000</v>
      </c>
      <c r="Z10" s="8">
        <v>0</v>
      </c>
      <c r="AA10" s="8">
        <v>0</v>
      </c>
      <c r="AB10" s="8">
        <v>0</v>
      </c>
      <c r="AC10" s="5">
        <f t="shared" ref="AC10" si="37">E10*7</f>
        <v>21000</v>
      </c>
      <c r="AD10" s="8">
        <v>0</v>
      </c>
      <c r="AE10" s="8">
        <v>0</v>
      </c>
      <c r="AF10" s="8">
        <v>0</v>
      </c>
      <c r="AG10" s="5">
        <f t="shared" ref="AG10" si="38">E10*8</f>
        <v>24000</v>
      </c>
      <c r="AH10" s="8">
        <v>0</v>
      </c>
      <c r="AI10" s="8">
        <v>0</v>
      </c>
      <c r="AJ10" s="8">
        <v>0</v>
      </c>
      <c r="AK10" s="5">
        <f t="shared" ref="AK10" si="39">E10*9</f>
        <v>27000</v>
      </c>
      <c r="AL10" s="8">
        <v>0</v>
      </c>
      <c r="AM10" s="8">
        <v>0</v>
      </c>
      <c r="AN10" s="8">
        <v>0</v>
      </c>
      <c r="AO10" s="5">
        <f t="shared" ref="AO10" si="40">E10*10</f>
        <v>30000</v>
      </c>
      <c r="AP10" s="8">
        <v>0</v>
      </c>
      <c r="AQ10" s="8">
        <v>0</v>
      </c>
      <c r="AR10" s="8">
        <v>0</v>
      </c>
      <c r="AS10" s="5">
        <f t="shared" ref="AS10" si="41">E10*11</f>
        <v>33000</v>
      </c>
      <c r="AT10" s="8">
        <v>0</v>
      </c>
      <c r="AU10" s="8">
        <v>0</v>
      </c>
      <c r="AV10" s="8">
        <v>0</v>
      </c>
      <c r="AW10" s="5">
        <f t="shared" ref="AW10" si="42">E10*12</f>
        <v>36000</v>
      </c>
      <c r="AX10" s="8">
        <v>0</v>
      </c>
      <c r="AY10" s="8">
        <v>0</v>
      </c>
    </row>
    <row r="11" spans="1:51">
      <c r="A11" s="1" t="s">
        <v>32</v>
      </c>
      <c r="B11" s="8">
        <v>0</v>
      </c>
      <c r="C11" s="8">
        <v>0</v>
      </c>
      <c r="D11" s="8">
        <v>0</v>
      </c>
      <c r="E11" s="17">
        <v>3000</v>
      </c>
      <c r="F11" s="8">
        <v>0</v>
      </c>
      <c r="G11" s="8">
        <v>0</v>
      </c>
      <c r="H11" s="8">
        <v>0</v>
      </c>
      <c r="I11" s="8">
        <f>E11*2</f>
        <v>6000</v>
      </c>
      <c r="J11" s="8">
        <v>0</v>
      </c>
      <c r="K11" s="8">
        <v>0</v>
      </c>
      <c r="L11" s="8">
        <v>0</v>
      </c>
      <c r="M11" s="8">
        <f>E11*3</f>
        <v>9000</v>
      </c>
      <c r="N11" s="8">
        <v>0</v>
      </c>
      <c r="O11" s="8">
        <v>0</v>
      </c>
      <c r="P11" s="8">
        <v>0</v>
      </c>
      <c r="Q11" s="8">
        <f t="shared" si="12"/>
        <v>12000</v>
      </c>
      <c r="R11" s="8">
        <v>0</v>
      </c>
      <c r="S11" s="8">
        <v>0</v>
      </c>
      <c r="T11" s="8">
        <v>0</v>
      </c>
      <c r="U11" s="8">
        <f t="shared" si="13"/>
        <v>15000</v>
      </c>
      <c r="V11" s="8">
        <v>0</v>
      </c>
      <c r="W11" s="8">
        <v>0</v>
      </c>
      <c r="X11" s="8">
        <v>0</v>
      </c>
      <c r="Y11" s="5">
        <f t="shared" si="14"/>
        <v>18000</v>
      </c>
      <c r="Z11" s="8">
        <v>0</v>
      </c>
      <c r="AA11" s="8">
        <v>0</v>
      </c>
      <c r="AB11" s="8">
        <v>0</v>
      </c>
      <c r="AC11" s="5">
        <f t="shared" si="15"/>
        <v>21000</v>
      </c>
      <c r="AD11" s="8">
        <v>0</v>
      </c>
      <c r="AE11" s="8">
        <v>0</v>
      </c>
      <c r="AF11" s="8">
        <v>0</v>
      </c>
      <c r="AG11" s="5">
        <f t="shared" si="16"/>
        <v>24000</v>
      </c>
      <c r="AH11" s="8">
        <v>0</v>
      </c>
      <c r="AI11" s="8">
        <v>0</v>
      </c>
      <c r="AJ11" s="8">
        <v>0</v>
      </c>
      <c r="AK11" s="5">
        <f t="shared" si="17"/>
        <v>27000</v>
      </c>
      <c r="AL11" s="8">
        <v>0</v>
      </c>
      <c r="AM11" s="8">
        <v>0</v>
      </c>
      <c r="AN11" s="8">
        <v>0</v>
      </c>
      <c r="AO11" s="5">
        <f t="shared" si="18"/>
        <v>30000</v>
      </c>
      <c r="AP11" s="8">
        <v>0</v>
      </c>
      <c r="AQ11" s="8">
        <v>0</v>
      </c>
      <c r="AR11" s="8">
        <v>0</v>
      </c>
      <c r="AS11" s="5">
        <f t="shared" si="19"/>
        <v>33000</v>
      </c>
      <c r="AT11" s="8">
        <v>0</v>
      </c>
      <c r="AU11" s="8">
        <v>0</v>
      </c>
      <c r="AV11" s="8">
        <v>0</v>
      </c>
      <c r="AW11" s="5">
        <f t="shared" si="20"/>
        <v>36000</v>
      </c>
      <c r="AX11" s="8">
        <v>0</v>
      </c>
      <c r="AY11" s="8">
        <v>0</v>
      </c>
    </row>
    <row r="12" spans="1:51">
      <c r="A12" s="1" t="s">
        <v>31</v>
      </c>
      <c r="B12" s="8">
        <v>0</v>
      </c>
      <c r="C12" s="8">
        <v>0</v>
      </c>
      <c r="D12" s="8">
        <v>0</v>
      </c>
      <c r="E12" s="8">
        <v>3000</v>
      </c>
      <c r="F12" s="8">
        <v>0</v>
      </c>
      <c r="G12" s="8">
        <v>0</v>
      </c>
      <c r="H12" s="8">
        <v>0</v>
      </c>
      <c r="I12" s="8">
        <f t="shared" si="11"/>
        <v>6000</v>
      </c>
      <c r="J12" s="8">
        <v>0</v>
      </c>
      <c r="K12" s="8">
        <v>0</v>
      </c>
      <c r="L12" s="8">
        <v>0</v>
      </c>
      <c r="M12" s="8">
        <f>E12*3</f>
        <v>9000</v>
      </c>
      <c r="N12" s="8">
        <v>0</v>
      </c>
      <c r="O12" s="8">
        <v>0</v>
      </c>
      <c r="P12" s="8">
        <v>0</v>
      </c>
      <c r="Q12" s="8">
        <f t="shared" si="12"/>
        <v>12000</v>
      </c>
      <c r="R12" s="27">
        <v>0</v>
      </c>
      <c r="S12" s="27">
        <v>0</v>
      </c>
      <c r="T12" s="27">
        <v>0</v>
      </c>
      <c r="U12" s="8">
        <f t="shared" si="13"/>
        <v>15000</v>
      </c>
      <c r="V12" s="8">
        <v>0</v>
      </c>
      <c r="W12" s="8">
        <v>0</v>
      </c>
      <c r="X12" s="8">
        <v>0</v>
      </c>
      <c r="Y12" s="5">
        <f t="shared" si="14"/>
        <v>18000</v>
      </c>
      <c r="Z12" s="8">
        <v>0</v>
      </c>
      <c r="AA12" s="8">
        <v>0</v>
      </c>
      <c r="AB12" s="8">
        <v>0</v>
      </c>
      <c r="AC12" s="5">
        <f t="shared" si="15"/>
        <v>21000</v>
      </c>
      <c r="AD12" s="8">
        <v>0</v>
      </c>
      <c r="AE12" s="8">
        <v>0</v>
      </c>
      <c r="AF12" s="8">
        <v>0</v>
      </c>
      <c r="AG12" s="5">
        <f t="shared" si="16"/>
        <v>24000</v>
      </c>
      <c r="AH12" s="8">
        <v>0</v>
      </c>
      <c r="AI12" s="50">
        <v>0</v>
      </c>
      <c r="AJ12" s="8">
        <v>0</v>
      </c>
      <c r="AK12" s="5">
        <f t="shared" si="17"/>
        <v>27000</v>
      </c>
      <c r="AL12" s="8">
        <v>0</v>
      </c>
      <c r="AM12" s="8">
        <v>0</v>
      </c>
      <c r="AN12" s="8">
        <v>0</v>
      </c>
      <c r="AO12" s="5">
        <f t="shared" si="18"/>
        <v>30000</v>
      </c>
      <c r="AP12" s="8">
        <v>0</v>
      </c>
      <c r="AQ12" s="8">
        <v>0</v>
      </c>
      <c r="AR12" s="8">
        <v>0</v>
      </c>
      <c r="AS12" s="5">
        <f t="shared" si="19"/>
        <v>33000</v>
      </c>
      <c r="AT12" s="8">
        <v>0</v>
      </c>
      <c r="AU12" s="8">
        <v>0</v>
      </c>
      <c r="AV12" s="8">
        <v>0</v>
      </c>
      <c r="AW12" s="5">
        <f t="shared" si="20"/>
        <v>36000</v>
      </c>
      <c r="AX12" s="8">
        <v>0</v>
      </c>
      <c r="AY12" s="8">
        <v>0</v>
      </c>
    </row>
    <row r="13" spans="1:51">
      <c r="A13" s="1" t="s">
        <v>120</v>
      </c>
      <c r="B13" s="8">
        <v>0</v>
      </c>
      <c r="C13" s="8">
        <v>0</v>
      </c>
      <c r="D13" s="8">
        <v>0</v>
      </c>
      <c r="E13" s="8">
        <v>3000</v>
      </c>
      <c r="F13" s="8">
        <v>0</v>
      </c>
      <c r="G13" s="8">
        <v>0</v>
      </c>
      <c r="H13" s="8">
        <v>0</v>
      </c>
      <c r="I13" s="8">
        <f t="shared" si="11"/>
        <v>6000</v>
      </c>
      <c r="J13" s="8">
        <v>0</v>
      </c>
      <c r="K13" s="8">
        <v>0</v>
      </c>
      <c r="L13" s="8">
        <v>0</v>
      </c>
      <c r="M13" s="8">
        <f t="shared" ref="M13:M18" si="43">E13*3</f>
        <v>9000</v>
      </c>
      <c r="N13" s="8">
        <v>0</v>
      </c>
      <c r="O13" s="8">
        <v>0</v>
      </c>
      <c r="P13" s="8">
        <v>0</v>
      </c>
      <c r="Q13" s="8">
        <f t="shared" si="12"/>
        <v>12000</v>
      </c>
      <c r="R13" s="27">
        <v>0</v>
      </c>
      <c r="S13" s="51">
        <v>0</v>
      </c>
      <c r="T13" s="27">
        <v>0</v>
      </c>
      <c r="U13" s="8">
        <f t="shared" si="13"/>
        <v>15000</v>
      </c>
      <c r="V13" s="8">
        <v>0</v>
      </c>
      <c r="W13" s="8">
        <v>0</v>
      </c>
      <c r="X13" s="8">
        <v>0</v>
      </c>
      <c r="Y13" s="5">
        <f t="shared" si="14"/>
        <v>18000</v>
      </c>
      <c r="Z13" s="8">
        <v>0</v>
      </c>
      <c r="AA13" s="8">
        <v>0</v>
      </c>
      <c r="AB13" s="8">
        <v>0</v>
      </c>
      <c r="AC13" s="5">
        <f t="shared" si="15"/>
        <v>21000</v>
      </c>
      <c r="AD13" s="8">
        <v>0</v>
      </c>
      <c r="AE13" s="8">
        <v>0</v>
      </c>
      <c r="AF13" s="8">
        <v>0</v>
      </c>
      <c r="AG13" s="5">
        <f t="shared" si="16"/>
        <v>24000</v>
      </c>
      <c r="AH13" s="8">
        <v>0</v>
      </c>
      <c r="AI13" s="50">
        <v>0</v>
      </c>
      <c r="AJ13" s="8">
        <v>0</v>
      </c>
      <c r="AK13" s="5">
        <f t="shared" si="17"/>
        <v>27000</v>
      </c>
      <c r="AL13" s="8">
        <v>0</v>
      </c>
      <c r="AM13" s="8">
        <v>0</v>
      </c>
      <c r="AN13" s="8">
        <v>0</v>
      </c>
      <c r="AO13" s="5">
        <f t="shared" si="18"/>
        <v>30000</v>
      </c>
      <c r="AP13" s="8">
        <v>0</v>
      </c>
      <c r="AQ13" s="8">
        <v>0</v>
      </c>
      <c r="AR13" s="8">
        <v>0</v>
      </c>
      <c r="AS13" s="5">
        <f t="shared" si="19"/>
        <v>33000</v>
      </c>
      <c r="AT13" s="8">
        <v>0</v>
      </c>
      <c r="AU13" s="8">
        <v>0</v>
      </c>
      <c r="AV13" s="8">
        <v>0</v>
      </c>
      <c r="AW13" s="5">
        <f t="shared" si="20"/>
        <v>36000</v>
      </c>
      <c r="AX13" s="8">
        <v>0</v>
      </c>
      <c r="AY13" s="8">
        <v>0</v>
      </c>
    </row>
    <row r="14" spans="1:51">
      <c r="A14" s="1" t="s">
        <v>119</v>
      </c>
      <c r="B14" s="8">
        <v>0</v>
      </c>
      <c r="C14" s="8">
        <v>0</v>
      </c>
      <c r="D14" s="8">
        <v>0</v>
      </c>
      <c r="E14" s="8">
        <v>3000</v>
      </c>
      <c r="F14" s="8">
        <v>0</v>
      </c>
      <c r="G14" s="8">
        <v>0</v>
      </c>
      <c r="H14" s="8">
        <v>0</v>
      </c>
      <c r="I14" s="8">
        <f t="shared" si="11"/>
        <v>6000</v>
      </c>
      <c r="J14" s="8">
        <v>0</v>
      </c>
      <c r="K14" s="8">
        <v>0</v>
      </c>
      <c r="L14" s="8">
        <v>0</v>
      </c>
      <c r="M14" s="8">
        <f t="shared" si="43"/>
        <v>9000</v>
      </c>
      <c r="N14" s="8">
        <v>0</v>
      </c>
      <c r="O14" s="8">
        <v>0</v>
      </c>
      <c r="P14" s="8">
        <v>0</v>
      </c>
      <c r="Q14" s="8">
        <f t="shared" si="12"/>
        <v>12000</v>
      </c>
      <c r="R14" s="27">
        <v>0</v>
      </c>
      <c r="S14" s="51">
        <v>0</v>
      </c>
      <c r="T14" s="27">
        <v>0</v>
      </c>
      <c r="U14" s="8">
        <f t="shared" si="13"/>
        <v>15000</v>
      </c>
      <c r="V14" s="8">
        <v>0</v>
      </c>
      <c r="W14" s="8">
        <v>0</v>
      </c>
      <c r="X14" s="8">
        <v>0</v>
      </c>
      <c r="Y14" s="5">
        <f t="shared" si="14"/>
        <v>18000</v>
      </c>
      <c r="Z14" s="8">
        <v>0</v>
      </c>
      <c r="AA14" s="8">
        <v>0</v>
      </c>
      <c r="AB14" s="8">
        <v>0</v>
      </c>
      <c r="AC14" s="5">
        <f t="shared" si="15"/>
        <v>21000</v>
      </c>
      <c r="AD14" s="8">
        <v>0</v>
      </c>
      <c r="AE14" s="8">
        <v>0</v>
      </c>
      <c r="AF14" s="8">
        <v>0</v>
      </c>
      <c r="AG14" s="5">
        <f t="shared" si="16"/>
        <v>24000</v>
      </c>
      <c r="AH14" s="8">
        <v>0</v>
      </c>
      <c r="AI14" s="50">
        <v>0</v>
      </c>
      <c r="AJ14" s="8">
        <v>0</v>
      </c>
      <c r="AK14" s="5">
        <f t="shared" si="17"/>
        <v>27000</v>
      </c>
      <c r="AL14" s="8">
        <v>0</v>
      </c>
      <c r="AM14" s="8">
        <v>0</v>
      </c>
      <c r="AN14" s="8">
        <v>0</v>
      </c>
      <c r="AO14" s="5">
        <f t="shared" si="18"/>
        <v>30000</v>
      </c>
      <c r="AP14" s="8">
        <v>0</v>
      </c>
      <c r="AQ14" s="8">
        <v>0</v>
      </c>
      <c r="AR14" s="8">
        <v>0</v>
      </c>
      <c r="AS14" s="5">
        <f t="shared" si="19"/>
        <v>33000</v>
      </c>
      <c r="AT14" s="8">
        <v>0</v>
      </c>
      <c r="AU14" s="8">
        <v>0</v>
      </c>
      <c r="AV14" s="8">
        <v>0</v>
      </c>
      <c r="AW14" s="5">
        <f t="shared" si="20"/>
        <v>36000</v>
      </c>
      <c r="AX14" s="8">
        <v>0</v>
      </c>
      <c r="AY14" s="8">
        <v>0</v>
      </c>
    </row>
    <row r="15" spans="1:51">
      <c r="A15" s="1" t="s">
        <v>122</v>
      </c>
      <c r="B15" s="8">
        <v>0</v>
      </c>
      <c r="C15" s="8">
        <v>0</v>
      </c>
      <c r="D15" s="8">
        <v>0</v>
      </c>
      <c r="E15" s="8">
        <v>3000</v>
      </c>
      <c r="F15" s="8">
        <v>0</v>
      </c>
      <c r="G15" s="8">
        <v>0</v>
      </c>
      <c r="H15" s="8">
        <v>0</v>
      </c>
      <c r="I15" s="8">
        <f t="shared" si="11"/>
        <v>6000</v>
      </c>
      <c r="J15" s="8">
        <v>0</v>
      </c>
      <c r="K15" s="8">
        <v>0</v>
      </c>
      <c r="L15" s="8">
        <v>0</v>
      </c>
      <c r="M15" s="8">
        <f t="shared" si="43"/>
        <v>9000</v>
      </c>
      <c r="N15" s="8">
        <v>0</v>
      </c>
      <c r="O15" s="8">
        <v>0</v>
      </c>
      <c r="P15" s="8">
        <v>0</v>
      </c>
      <c r="Q15" s="8">
        <f t="shared" si="12"/>
        <v>12000</v>
      </c>
      <c r="R15" s="27">
        <v>0</v>
      </c>
      <c r="S15" s="51">
        <v>0</v>
      </c>
      <c r="T15" s="27">
        <v>0</v>
      </c>
      <c r="U15" s="8">
        <f t="shared" si="13"/>
        <v>15000</v>
      </c>
      <c r="V15" s="8">
        <v>0</v>
      </c>
      <c r="W15" s="8">
        <v>0</v>
      </c>
      <c r="X15" s="8">
        <v>0</v>
      </c>
      <c r="Y15" s="5">
        <f t="shared" si="14"/>
        <v>18000</v>
      </c>
      <c r="Z15" s="8">
        <v>0</v>
      </c>
      <c r="AA15" s="8">
        <v>0</v>
      </c>
      <c r="AB15" s="8">
        <v>0</v>
      </c>
      <c r="AC15" s="5">
        <f t="shared" si="15"/>
        <v>21000</v>
      </c>
      <c r="AD15" s="8">
        <v>0</v>
      </c>
      <c r="AE15" s="8">
        <v>0</v>
      </c>
      <c r="AF15" s="8">
        <v>0</v>
      </c>
      <c r="AG15" s="5">
        <f t="shared" si="16"/>
        <v>24000</v>
      </c>
      <c r="AH15" s="8">
        <v>0</v>
      </c>
      <c r="AI15" s="50">
        <v>0</v>
      </c>
      <c r="AJ15" s="8">
        <v>0</v>
      </c>
      <c r="AK15" s="5">
        <f t="shared" si="17"/>
        <v>27000</v>
      </c>
      <c r="AL15" s="8">
        <v>0</v>
      </c>
      <c r="AM15" s="8">
        <v>0</v>
      </c>
      <c r="AN15" s="8">
        <v>0</v>
      </c>
      <c r="AO15" s="5">
        <f t="shared" si="18"/>
        <v>30000</v>
      </c>
      <c r="AP15" s="8">
        <v>0</v>
      </c>
      <c r="AQ15" s="8">
        <v>0</v>
      </c>
      <c r="AR15" s="8">
        <v>0</v>
      </c>
      <c r="AS15" s="5">
        <f t="shared" si="19"/>
        <v>33000</v>
      </c>
      <c r="AT15" s="8">
        <v>0</v>
      </c>
      <c r="AU15" s="8">
        <v>0</v>
      </c>
      <c r="AV15" s="8">
        <v>0</v>
      </c>
      <c r="AW15" s="5">
        <f t="shared" si="20"/>
        <v>36000</v>
      </c>
      <c r="AX15" s="8">
        <v>0</v>
      </c>
      <c r="AY15" s="8">
        <v>0</v>
      </c>
    </row>
    <row r="16" spans="1:51">
      <c r="A16" s="1" t="s">
        <v>121</v>
      </c>
      <c r="B16" s="8">
        <v>0</v>
      </c>
      <c r="C16" s="8">
        <v>0</v>
      </c>
      <c r="D16" s="8">
        <v>0</v>
      </c>
      <c r="E16" s="8">
        <v>3000</v>
      </c>
      <c r="F16" s="8">
        <v>0</v>
      </c>
      <c r="G16" s="8">
        <v>0</v>
      </c>
      <c r="H16" s="8">
        <v>0</v>
      </c>
      <c r="I16" s="8">
        <f t="shared" si="11"/>
        <v>6000</v>
      </c>
      <c r="J16" s="8">
        <v>0</v>
      </c>
      <c r="K16" s="8">
        <v>0</v>
      </c>
      <c r="L16" s="8">
        <v>0</v>
      </c>
      <c r="M16" s="8">
        <f t="shared" si="43"/>
        <v>9000</v>
      </c>
      <c r="N16" s="8">
        <v>0</v>
      </c>
      <c r="O16" s="8">
        <v>0</v>
      </c>
      <c r="P16" s="8">
        <v>0</v>
      </c>
      <c r="Q16" s="8">
        <f t="shared" si="12"/>
        <v>12000</v>
      </c>
      <c r="R16" s="27">
        <v>0</v>
      </c>
      <c r="S16" s="51">
        <v>0</v>
      </c>
      <c r="T16" s="27">
        <v>0</v>
      </c>
      <c r="U16" s="8">
        <f t="shared" si="13"/>
        <v>15000</v>
      </c>
      <c r="V16" s="8">
        <v>0</v>
      </c>
      <c r="W16" s="8">
        <v>0</v>
      </c>
      <c r="X16" s="8">
        <v>0</v>
      </c>
      <c r="Y16" s="5">
        <f t="shared" si="14"/>
        <v>18000</v>
      </c>
      <c r="Z16" s="8">
        <v>0</v>
      </c>
      <c r="AA16" s="8">
        <v>0</v>
      </c>
      <c r="AB16" s="8">
        <v>0</v>
      </c>
      <c r="AC16" s="5">
        <f t="shared" si="15"/>
        <v>21000</v>
      </c>
      <c r="AD16" s="8">
        <v>0</v>
      </c>
      <c r="AE16" s="8">
        <v>0</v>
      </c>
      <c r="AF16" s="8">
        <v>0</v>
      </c>
      <c r="AG16" s="5">
        <f t="shared" si="16"/>
        <v>24000</v>
      </c>
      <c r="AH16" s="8">
        <v>0</v>
      </c>
      <c r="AI16" s="50">
        <v>0</v>
      </c>
      <c r="AJ16" s="8">
        <v>0</v>
      </c>
      <c r="AK16" s="5">
        <f t="shared" si="17"/>
        <v>27000</v>
      </c>
      <c r="AL16" s="8">
        <v>0</v>
      </c>
      <c r="AM16" s="8">
        <v>0</v>
      </c>
      <c r="AN16" s="8">
        <v>0</v>
      </c>
      <c r="AO16" s="5">
        <f t="shared" si="18"/>
        <v>30000</v>
      </c>
      <c r="AP16" s="8">
        <v>0</v>
      </c>
      <c r="AQ16" s="8">
        <v>0</v>
      </c>
      <c r="AR16" s="8">
        <v>0</v>
      </c>
      <c r="AS16" s="5">
        <f t="shared" si="19"/>
        <v>33000</v>
      </c>
      <c r="AT16" s="8">
        <v>0</v>
      </c>
      <c r="AU16" s="8">
        <v>0</v>
      </c>
      <c r="AV16" s="8">
        <v>0</v>
      </c>
      <c r="AW16" s="5">
        <f t="shared" si="20"/>
        <v>36000</v>
      </c>
      <c r="AX16" s="8">
        <v>0</v>
      </c>
      <c r="AY16" s="8">
        <v>0</v>
      </c>
    </row>
    <row r="17" spans="1:52">
      <c r="A17" s="1" t="s">
        <v>118</v>
      </c>
      <c r="B17" s="8">
        <v>0</v>
      </c>
      <c r="C17" s="8">
        <v>0</v>
      </c>
      <c r="D17" s="8">
        <v>0</v>
      </c>
      <c r="E17" s="8">
        <v>3000</v>
      </c>
      <c r="F17" s="8">
        <v>0</v>
      </c>
      <c r="G17" s="8">
        <v>0</v>
      </c>
      <c r="H17" s="8">
        <v>0</v>
      </c>
      <c r="I17" s="8">
        <f t="shared" si="11"/>
        <v>6000</v>
      </c>
      <c r="J17" s="8">
        <v>0</v>
      </c>
      <c r="K17" s="8">
        <v>0</v>
      </c>
      <c r="L17" s="8">
        <v>0</v>
      </c>
      <c r="M17" s="8">
        <f t="shared" si="43"/>
        <v>9000</v>
      </c>
      <c r="N17" s="8">
        <v>0</v>
      </c>
      <c r="O17" s="8">
        <v>0</v>
      </c>
      <c r="P17" s="8">
        <v>0</v>
      </c>
      <c r="Q17" s="8">
        <f t="shared" si="12"/>
        <v>12000</v>
      </c>
      <c r="R17" s="27">
        <v>0</v>
      </c>
      <c r="S17" s="51">
        <v>0</v>
      </c>
      <c r="T17" s="27">
        <v>0</v>
      </c>
      <c r="U17" s="8">
        <f t="shared" si="13"/>
        <v>15000</v>
      </c>
      <c r="V17" s="8">
        <v>0</v>
      </c>
      <c r="W17" s="8">
        <v>0</v>
      </c>
      <c r="X17" s="8">
        <v>0</v>
      </c>
      <c r="Y17" s="5">
        <f t="shared" si="14"/>
        <v>18000</v>
      </c>
      <c r="Z17" s="8">
        <v>0</v>
      </c>
      <c r="AA17" s="8">
        <v>0</v>
      </c>
      <c r="AB17" s="8">
        <v>0</v>
      </c>
      <c r="AC17" s="5">
        <f t="shared" si="15"/>
        <v>21000</v>
      </c>
      <c r="AD17" s="8">
        <v>0</v>
      </c>
      <c r="AE17" s="8">
        <v>0</v>
      </c>
      <c r="AF17" s="8">
        <v>0</v>
      </c>
      <c r="AG17" s="5">
        <f t="shared" si="16"/>
        <v>24000</v>
      </c>
      <c r="AH17" s="8">
        <v>0</v>
      </c>
      <c r="AI17" s="50">
        <v>0</v>
      </c>
      <c r="AJ17" s="8">
        <v>0</v>
      </c>
      <c r="AK17" s="5">
        <f t="shared" si="17"/>
        <v>27000</v>
      </c>
      <c r="AL17" s="8">
        <v>0</v>
      </c>
      <c r="AM17" s="8">
        <v>0</v>
      </c>
      <c r="AN17" s="8">
        <v>0</v>
      </c>
      <c r="AO17" s="5">
        <f t="shared" si="18"/>
        <v>30000</v>
      </c>
      <c r="AP17" s="8">
        <v>0</v>
      </c>
      <c r="AQ17" s="8">
        <v>0</v>
      </c>
      <c r="AR17" s="8">
        <v>0</v>
      </c>
      <c r="AS17" s="5">
        <f t="shared" si="19"/>
        <v>33000</v>
      </c>
      <c r="AT17" s="8">
        <v>0</v>
      </c>
      <c r="AU17" s="8">
        <v>0</v>
      </c>
      <c r="AV17" s="8">
        <v>0</v>
      </c>
      <c r="AW17" s="5">
        <f t="shared" si="20"/>
        <v>36000</v>
      </c>
      <c r="AX17" s="8">
        <v>0</v>
      </c>
      <c r="AY17" s="8">
        <v>0</v>
      </c>
    </row>
    <row r="18" spans="1:52">
      <c r="A18" s="1" t="s">
        <v>123</v>
      </c>
      <c r="B18" s="8">
        <v>0</v>
      </c>
      <c r="C18" s="8">
        <v>0</v>
      </c>
      <c r="D18" s="8">
        <v>0</v>
      </c>
      <c r="E18" s="8">
        <v>3000</v>
      </c>
      <c r="F18" s="8">
        <v>0</v>
      </c>
      <c r="G18" s="8">
        <v>0</v>
      </c>
      <c r="H18" s="8">
        <v>0</v>
      </c>
      <c r="I18" s="8">
        <f t="shared" si="11"/>
        <v>6000</v>
      </c>
      <c r="J18" s="8">
        <v>0</v>
      </c>
      <c r="K18" s="8">
        <v>0</v>
      </c>
      <c r="L18" s="8">
        <v>0</v>
      </c>
      <c r="M18" s="8">
        <f t="shared" si="43"/>
        <v>9000</v>
      </c>
      <c r="N18" s="8">
        <v>0</v>
      </c>
      <c r="O18" s="8">
        <v>0</v>
      </c>
      <c r="P18" s="8">
        <v>0</v>
      </c>
      <c r="Q18" s="8">
        <f t="shared" si="12"/>
        <v>12000</v>
      </c>
      <c r="R18" s="8">
        <v>0</v>
      </c>
      <c r="S18" s="8">
        <v>0</v>
      </c>
      <c r="T18" s="8">
        <v>0</v>
      </c>
      <c r="U18" s="8">
        <f t="shared" si="13"/>
        <v>15000</v>
      </c>
      <c r="V18" s="8">
        <v>0</v>
      </c>
      <c r="W18" s="8">
        <v>0</v>
      </c>
      <c r="X18" s="8">
        <v>0</v>
      </c>
      <c r="Y18" s="5">
        <f t="shared" si="14"/>
        <v>18000</v>
      </c>
      <c r="Z18" s="8">
        <v>0</v>
      </c>
      <c r="AA18" s="8">
        <v>0</v>
      </c>
      <c r="AB18" s="8">
        <v>0</v>
      </c>
      <c r="AC18" s="5">
        <f t="shared" si="15"/>
        <v>21000</v>
      </c>
      <c r="AD18" s="8">
        <v>0</v>
      </c>
      <c r="AE18" s="8">
        <v>0</v>
      </c>
      <c r="AF18" s="8">
        <v>0</v>
      </c>
      <c r="AG18" s="5">
        <f t="shared" si="16"/>
        <v>24000</v>
      </c>
      <c r="AH18" s="8">
        <v>0</v>
      </c>
      <c r="AI18" s="50">
        <v>0</v>
      </c>
      <c r="AJ18" s="8">
        <v>0</v>
      </c>
      <c r="AK18" s="5">
        <f t="shared" si="17"/>
        <v>27000</v>
      </c>
      <c r="AL18" s="8">
        <v>0</v>
      </c>
      <c r="AM18" s="8">
        <v>0</v>
      </c>
      <c r="AN18" s="8">
        <v>0</v>
      </c>
      <c r="AO18" s="5">
        <f t="shared" si="18"/>
        <v>30000</v>
      </c>
      <c r="AP18" s="8">
        <v>0</v>
      </c>
      <c r="AQ18" s="8">
        <v>0</v>
      </c>
      <c r="AR18" s="8">
        <v>0</v>
      </c>
      <c r="AS18" s="5">
        <f t="shared" si="19"/>
        <v>33000</v>
      </c>
      <c r="AT18" s="8">
        <v>0</v>
      </c>
      <c r="AU18" s="8">
        <v>0</v>
      </c>
      <c r="AV18" s="8">
        <v>0</v>
      </c>
      <c r="AW18" s="5">
        <f t="shared" si="20"/>
        <v>36000</v>
      </c>
      <c r="AX18" s="8">
        <v>0</v>
      </c>
      <c r="AY18" s="8">
        <v>0</v>
      </c>
    </row>
    <row r="19" spans="1:5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Z19" s="1"/>
      <c r="AA19" s="1"/>
      <c r="AB19" s="1"/>
      <c r="AD19" s="1"/>
      <c r="AE19" s="1"/>
      <c r="AF19" s="1"/>
      <c r="AH19" s="1"/>
      <c r="AI19" s="1"/>
      <c r="AJ19" s="1"/>
      <c r="AL19" s="1"/>
      <c r="AM19" s="1"/>
      <c r="AN19" s="1"/>
      <c r="AP19" s="1"/>
      <c r="AQ19" s="1"/>
      <c r="AR19" s="1"/>
      <c r="AS19" s="1"/>
      <c r="AT19" s="1"/>
      <c r="AU19" s="1"/>
      <c r="AV19" s="1"/>
      <c r="AX19" s="1"/>
      <c r="AY19" s="1"/>
      <c r="AZ19" s="1"/>
    </row>
    <row r="20" spans="1:5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Z20" s="1"/>
      <c r="AA20" s="1"/>
      <c r="AB20" s="1"/>
      <c r="AD20" s="1"/>
      <c r="AE20" s="1"/>
      <c r="AF20" s="1"/>
      <c r="AH20" s="1"/>
      <c r="AI20" s="1"/>
      <c r="AJ20" s="1"/>
      <c r="AL20" s="1"/>
      <c r="AM20" s="1"/>
      <c r="AN20" s="1"/>
      <c r="AP20" s="1"/>
      <c r="AQ20" s="1"/>
      <c r="AR20" s="1"/>
      <c r="AS20" s="1"/>
      <c r="AT20" s="1"/>
      <c r="AU20" s="1"/>
      <c r="AV20" s="1"/>
      <c r="AX20" s="1"/>
      <c r="AY20" s="1"/>
      <c r="AZ20" s="1"/>
    </row>
    <row r="21" spans="1:5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Z21" s="1"/>
      <c r="AA21" s="1"/>
      <c r="AB21" s="1"/>
      <c r="AD21" s="1"/>
      <c r="AE21" s="1"/>
      <c r="AF21" s="1"/>
      <c r="AH21" s="1"/>
      <c r="AI21" s="1"/>
      <c r="AJ21" s="1"/>
      <c r="AL21" s="1"/>
      <c r="AM21" s="1"/>
      <c r="AN21" s="1"/>
      <c r="AP21" s="1"/>
      <c r="AQ21" s="1"/>
      <c r="AR21" s="1"/>
      <c r="AS21" s="1"/>
      <c r="AT21" s="1"/>
      <c r="AU21" s="1"/>
      <c r="AV21" s="1"/>
      <c r="AX21" s="1"/>
      <c r="AY21" s="1"/>
      <c r="AZ21" s="1"/>
    </row>
  </sheetData>
  <mergeCells count="1">
    <mergeCell ref="B2:U2"/>
  </mergeCells>
  <pageMargins left="0.7" right="0.7" top="0.75" bottom="0.75" header="0.3" footer="0.3"/>
  <pageSetup paperSize="9"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2B82405-DD5C-4BB8-8650-316EB570C192}">
  <dimension ref="A2:V22"/>
  <sheetViews>
    <sheetView zoomScale="80" zoomScaleNormal="80" workbookViewId="0">
      <selection activeCell="V16" sqref="V16"/>
    </sheetView>
  </sheetViews>
  <sheetFormatPr defaultColWidth="8.88671875" defaultRowHeight="24.6"/>
  <cols>
    <col min="1" max="1" width="39.44140625" style="5" customWidth="1"/>
    <col min="2" max="16384" width="8.88671875" style="5"/>
  </cols>
  <sheetData>
    <row r="2" spans="1:21">
      <c r="B2" s="62" t="s">
        <v>96</v>
      </c>
      <c r="C2" s="62"/>
      <c r="D2" s="62"/>
      <c r="E2" s="62"/>
      <c r="F2" s="62"/>
      <c r="G2" s="62"/>
      <c r="H2" s="62"/>
      <c r="I2" s="62"/>
      <c r="J2" s="62"/>
      <c r="K2" s="62"/>
      <c r="L2" s="62"/>
      <c r="M2" s="62"/>
      <c r="N2" s="62"/>
      <c r="O2" s="62"/>
      <c r="P2" s="62"/>
      <c r="Q2" s="62"/>
      <c r="R2" s="62"/>
      <c r="S2" s="62"/>
      <c r="T2" s="62"/>
      <c r="U2" s="62"/>
    </row>
    <row r="3" spans="1:21">
      <c r="B3" s="2" t="s">
        <v>3</v>
      </c>
      <c r="C3" s="2" t="s">
        <v>4</v>
      </c>
      <c r="D3" s="2" t="s">
        <v>5</v>
      </c>
      <c r="E3" s="2" t="s">
        <v>6</v>
      </c>
      <c r="F3" s="2" t="s">
        <v>7</v>
      </c>
      <c r="G3" s="2" t="s">
        <v>8</v>
      </c>
      <c r="H3" s="2" t="s">
        <v>9</v>
      </c>
      <c r="I3" s="2" t="s">
        <v>10</v>
      </c>
      <c r="J3" s="2" t="s">
        <v>11</v>
      </c>
      <c r="K3" s="2" t="s">
        <v>12</v>
      </c>
      <c r="L3" s="2" t="s">
        <v>13</v>
      </c>
      <c r="M3" s="2" t="s">
        <v>14</v>
      </c>
      <c r="N3" s="2" t="s">
        <v>15</v>
      </c>
      <c r="O3" s="2" t="s">
        <v>16</v>
      </c>
      <c r="P3" s="2" t="s">
        <v>17</v>
      </c>
      <c r="Q3" s="2" t="s">
        <v>18</v>
      </c>
      <c r="R3" s="2" t="s">
        <v>19</v>
      </c>
      <c r="S3" s="2" t="s">
        <v>20</v>
      </c>
      <c r="T3" s="2" t="s">
        <v>21</v>
      </c>
      <c r="U3" s="2" t="s">
        <v>22</v>
      </c>
    </row>
    <row r="4" spans="1:21">
      <c r="A4" s="1" t="s">
        <v>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</row>
    <row r="5" spans="1:21">
      <c r="A5" s="1" t="s">
        <v>126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</row>
    <row r="6" spans="1:21">
      <c r="A6" s="1" t="s">
        <v>28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</row>
    <row r="7" spans="1:21">
      <c r="A7" s="1" t="s">
        <v>124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</row>
    <row r="8" spans="1:21">
      <c r="A8" s="1" t="s">
        <v>30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</row>
    <row r="9" spans="1:21">
      <c r="A9" s="1" t="s">
        <v>33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</row>
    <row r="10" spans="1:21">
      <c r="A10" s="1" t="s">
        <v>125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</row>
    <row r="11" spans="1:21">
      <c r="A11" s="1" t="s">
        <v>32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</row>
    <row r="12" spans="1:21">
      <c r="A12" s="1" t="s">
        <v>31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</row>
    <row r="13" spans="1:21">
      <c r="A13" s="1" t="s">
        <v>120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564900</v>
      </c>
      <c r="J13" s="57">
        <v>564900</v>
      </c>
      <c r="K13" s="57">
        <v>564900</v>
      </c>
      <c r="L13" s="57">
        <v>564900</v>
      </c>
      <c r="M13" s="57">
        <v>564900</v>
      </c>
      <c r="N13" s="57">
        <v>564900</v>
      </c>
      <c r="O13" s="57">
        <v>564900</v>
      </c>
      <c r="P13" s="57">
        <v>564900</v>
      </c>
      <c r="Q13" s="8">
        <v>1129800</v>
      </c>
      <c r="R13" s="57">
        <v>1129800</v>
      </c>
      <c r="S13" s="57">
        <v>1129800</v>
      </c>
      <c r="T13" s="57">
        <v>1129800</v>
      </c>
      <c r="U13" s="57">
        <v>1129800</v>
      </c>
    </row>
    <row r="14" spans="1:21">
      <c r="A14" s="1" t="s">
        <v>119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f>I14*2</f>
        <v>0</v>
      </c>
      <c r="R14" s="8">
        <v>0</v>
      </c>
      <c r="S14" s="8">
        <v>0</v>
      </c>
      <c r="T14" s="8">
        <v>0</v>
      </c>
      <c r="U14" s="8">
        <v>0</v>
      </c>
    </row>
    <row r="15" spans="1:21">
      <c r="A15" s="1" t="s">
        <v>122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600000</v>
      </c>
      <c r="J15" s="57">
        <v>600000</v>
      </c>
      <c r="K15" s="57">
        <v>600000</v>
      </c>
      <c r="L15" s="57">
        <v>600000</v>
      </c>
      <c r="M15" s="57">
        <v>600000</v>
      </c>
      <c r="N15" s="57">
        <v>600000</v>
      </c>
      <c r="O15" s="57">
        <v>600000</v>
      </c>
      <c r="P15" s="57">
        <v>600000</v>
      </c>
      <c r="Q15" s="8">
        <v>1200000</v>
      </c>
      <c r="R15" s="57">
        <v>1200000</v>
      </c>
      <c r="S15" s="57">
        <v>1200000</v>
      </c>
      <c r="T15" s="57">
        <v>1200000</v>
      </c>
      <c r="U15" s="57">
        <v>1200000</v>
      </c>
    </row>
    <row r="16" spans="1:21">
      <c r="A16" s="1" t="s">
        <v>121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</row>
    <row r="17" spans="1:22">
      <c r="A17" s="1" t="s">
        <v>118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342529</v>
      </c>
      <c r="J17" s="57">
        <v>342529</v>
      </c>
      <c r="K17" s="57">
        <v>342529</v>
      </c>
      <c r="L17" s="57">
        <v>342529</v>
      </c>
      <c r="M17" s="57">
        <v>342529</v>
      </c>
      <c r="N17" s="57">
        <v>342529</v>
      </c>
      <c r="O17" s="57">
        <v>342529</v>
      </c>
      <c r="P17" s="57">
        <v>342529</v>
      </c>
      <c r="Q17" s="8">
        <v>685058</v>
      </c>
      <c r="R17" s="57">
        <v>685058</v>
      </c>
      <c r="S17" s="57">
        <v>685058</v>
      </c>
      <c r="T17" s="57">
        <v>685058</v>
      </c>
      <c r="U17" s="57">
        <v>685058</v>
      </c>
    </row>
    <row r="18" spans="1:22">
      <c r="A18" s="1" t="s">
        <v>123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</row>
    <row r="19" spans="1:22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</row>
    <row r="20" spans="1:22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</row>
    <row r="21" spans="1:22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</row>
    <row r="22" spans="1:22">
      <c r="A22" s="1"/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</row>
  </sheetData>
  <mergeCells count="1">
    <mergeCell ref="B2:U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281D17-02F5-4F89-8DCC-DDBBBDB1F256}">
  <dimension ref="A2:BA21"/>
  <sheetViews>
    <sheetView zoomScale="59" zoomScaleNormal="85" workbookViewId="0">
      <selection activeCell="R13" sqref="R13"/>
    </sheetView>
  </sheetViews>
  <sheetFormatPr defaultColWidth="8.88671875" defaultRowHeight="24.6"/>
  <cols>
    <col min="1" max="1" width="28.5546875" style="5" customWidth="1"/>
    <col min="2" max="17" width="9" style="5" bestFit="1" customWidth="1"/>
    <col min="18" max="18" width="10.77734375" style="5" bestFit="1" customWidth="1"/>
    <col min="19" max="34" width="9" style="5" bestFit="1" customWidth="1"/>
    <col min="35" max="35" width="10.77734375" style="5" bestFit="1" customWidth="1"/>
    <col min="36" max="51" width="9" style="5" bestFit="1" customWidth="1"/>
    <col min="52" max="52" width="12.33203125" style="5" bestFit="1" customWidth="1"/>
    <col min="53" max="16384" width="8.88671875" style="5"/>
  </cols>
  <sheetData>
    <row r="2" spans="1:52">
      <c r="B2" s="64" t="s">
        <v>96</v>
      </c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</row>
    <row r="3" spans="1:52">
      <c r="B3" s="7">
        <v>10000</v>
      </c>
      <c r="C3" s="7">
        <v>20000</v>
      </c>
      <c r="D3" s="7">
        <v>30000</v>
      </c>
      <c r="E3" s="7">
        <v>40000</v>
      </c>
      <c r="F3" s="7">
        <v>50000</v>
      </c>
      <c r="G3" s="7">
        <v>60000</v>
      </c>
      <c r="H3" s="7">
        <v>70000</v>
      </c>
      <c r="I3" s="7">
        <v>80000</v>
      </c>
      <c r="J3" s="7">
        <v>90000</v>
      </c>
      <c r="K3" s="7">
        <v>100000</v>
      </c>
      <c r="L3" s="7">
        <v>110000</v>
      </c>
      <c r="M3" s="7">
        <v>120000</v>
      </c>
      <c r="N3" s="7">
        <v>130000</v>
      </c>
      <c r="O3" s="7">
        <v>140000</v>
      </c>
      <c r="P3" s="7">
        <v>150000</v>
      </c>
      <c r="Q3" s="7">
        <v>160000</v>
      </c>
      <c r="R3" s="7">
        <v>170000</v>
      </c>
      <c r="S3" s="7">
        <v>180000</v>
      </c>
      <c r="T3" s="7">
        <v>190000</v>
      </c>
      <c r="U3" s="7">
        <v>200000</v>
      </c>
      <c r="V3" s="7">
        <v>210000</v>
      </c>
      <c r="W3" s="7">
        <v>220000</v>
      </c>
      <c r="X3" s="7">
        <v>230000</v>
      </c>
      <c r="Y3" s="7">
        <v>240000</v>
      </c>
      <c r="Z3" s="7">
        <v>250000</v>
      </c>
      <c r="AA3" s="7">
        <v>260000</v>
      </c>
      <c r="AB3" s="7">
        <v>270000</v>
      </c>
      <c r="AC3" s="7">
        <v>280000</v>
      </c>
      <c r="AD3" s="7">
        <v>290000</v>
      </c>
      <c r="AE3" s="7">
        <v>300000</v>
      </c>
      <c r="AF3" s="7">
        <v>310000</v>
      </c>
      <c r="AG3" s="7">
        <v>320000</v>
      </c>
      <c r="AH3" s="7">
        <v>330000</v>
      </c>
      <c r="AI3" s="7">
        <v>340000</v>
      </c>
      <c r="AJ3" s="7">
        <v>350000</v>
      </c>
      <c r="AK3" s="7">
        <v>360000</v>
      </c>
      <c r="AL3" s="7">
        <v>370000</v>
      </c>
      <c r="AM3" s="7">
        <v>380000</v>
      </c>
      <c r="AN3" s="7">
        <v>390000</v>
      </c>
      <c r="AO3" s="7">
        <v>400000</v>
      </c>
      <c r="AP3" s="7">
        <v>410000</v>
      </c>
      <c r="AQ3" s="7">
        <v>420000</v>
      </c>
      <c r="AR3" s="7">
        <v>430000</v>
      </c>
      <c r="AS3" s="7">
        <v>440000</v>
      </c>
      <c r="AT3" s="7">
        <v>450000</v>
      </c>
      <c r="AU3" s="7">
        <v>460000</v>
      </c>
      <c r="AV3" s="7">
        <v>470000</v>
      </c>
      <c r="AW3" s="7">
        <v>480000</v>
      </c>
      <c r="AX3" s="7">
        <v>490000</v>
      </c>
      <c r="AY3" s="7">
        <v>500000</v>
      </c>
      <c r="AZ3" s="14">
        <v>510000</v>
      </c>
    </row>
    <row r="4" spans="1:52">
      <c r="A4" s="5" t="s">
        <v>0</v>
      </c>
      <c r="B4" s="8"/>
      <c r="C4" s="8"/>
      <c r="D4" s="8"/>
      <c r="E4" s="8"/>
      <c r="F4" s="8"/>
      <c r="G4" s="8"/>
      <c r="H4" s="8"/>
      <c r="I4" s="8"/>
      <c r="J4" s="8"/>
      <c r="K4" s="8"/>
      <c r="L4" s="8"/>
      <c r="M4" s="8"/>
      <c r="N4" s="8"/>
      <c r="O4" s="8"/>
      <c r="P4" s="8"/>
      <c r="Q4" s="8"/>
      <c r="R4" s="8"/>
      <c r="S4" s="8"/>
      <c r="T4" s="8"/>
      <c r="U4" s="8"/>
      <c r="AI4" s="8"/>
      <c r="AZ4" s="8"/>
    </row>
    <row r="5" spans="1:52">
      <c r="A5" s="1" t="s">
        <v>126</v>
      </c>
      <c r="B5" s="8">
        <v>0</v>
      </c>
      <c r="C5" s="8">
        <v>0</v>
      </c>
      <c r="D5" s="8">
        <v>0</v>
      </c>
      <c r="E5" s="8">
        <v>0</v>
      </c>
      <c r="F5" s="8">
        <v>0</v>
      </c>
      <c r="G5" s="8">
        <v>0</v>
      </c>
      <c r="H5" s="8">
        <v>0</v>
      </c>
      <c r="I5" s="8">
        <v>0</v>
      </c>
      <c r="J5" s="8">
        <v>0</v>
      </c>
      <c r="K5" s="8">
        <v>0</v>
      </c>
      <c r="L5" s="8">
        <v>0</v>
      </c>
      <c r="M5" s="8">
        <v>0</v>
      </c>
      <c r="N5" s="8">
        <v>0</v>
      </c>
      <c r="O5" s="8">
        <v>0</v>
      </c>
      <c r="P5" s="8">
        <v>0</v>
      </c>
      <c r="Q5" s="8">
        <v>0</v>
      </c>
      <c r="R5" s="8">
        <v>0</v>
      </c>
      <c r="S5" s="8">
        <v>0</v>
      </c>
      <c r="T5" s="8">
        <v>0</v>
      </c>
      <c r="U5" s="8">
        <v>0</v>
      </c>
      <c r="V5" s="8">
        <v>0</v>
      </c>
      <c r="W5" s="8">
        <v>0</v>
      </c>
      <c r="X5" s="8">
        <v>0</v>
      </c>
      <c r="Y5" s="8">
        <v>0</v>
      </c>
      <c r="Z5" s="8">
        <v>0</v>
      </c>
      <c r="AA5" s="8">
        <v>0</v>
      </c>
      <c r="AB5" s="8">
        <v>0</v>
      </c>
      <c r="AC5" s="8">
        <v>0</v>
      </c>
      <c r="AD5" s="8">
        <v>0</v>
      </c>
      <c r="AE5" s="8">
        <v>0</v>
      </c>
      <c r="AF5" s="8">
        <v>0</v>
      </c>
      <c r="AG5" s="8">
        <v>0</v>
      </c>
      <c r="AH5" s="8">
        <v>0</v>
      </c>
      <c r="AI5" s="8">
        <v>0</v>
      </c>
      <c r="AJ5" s="8">
        <v>0</v>
      </c>
      <c r="AK5" s="8">
        <v>0</v>
      </c>
      <c r="AL5" s="8">
        <v>0</v>
      </c>
      <c r="AM5" s="8">
        <v>0</v>
      </c>
      <c r="AN5" s="8">
        <v>0</v>
      </c>
      <c r="AO5" s="8">
        <v>0</v>
      </c>
      <c r="AP5" s="8">
        <v>0</v>
      </c>
      <c r="AQ5" s="8">
        <v>0</v>
      </c>
      <c r="AR5" s="8">
        <v>0</v>
      </c>
      <c r="AS5" s="8">
        <v>0</v>
      </c>
      <c r="AT5" s="8">
        <v>0</v>
      </c>
      <c r="AU5" s="8">
        <v>0</v>
      </c>
      <c r="AV5" s="8">
        <v>0</v>
      </c>
      <c r="AW5" s="8">
        <v>0</v>
      </c>
      <c r="AX5" s="8">
        <v>0</v>
      </c>
      <c r="AY5" s="8">
        <v>0</v>
      </c>
      <c r="AZ5" s="8">
        <v>0</v>
      </c>
    </row>
    <row r="6" spans="1:52">
      <c r="A6" s="5" t="s">
        <v>28</v>
      </c>
      <c r="B6" s="8">
        <v>0</v>
      </c>
      <c r="C6" s="8">
        <v>0</v>
      </c>
      <c r="D6" s="8">
        <v>0</v>
      </c>
      <c r="E6" s="8">
        <v>0</v>
      </c>
      <c r="F6" s="8">
        <v>0</v>
      </c>
      <c r="G6" s="8">
        <v>0</v>
      </c>
      <c r="H6" s="8">
        <v>0</v>
      </c>
      <c r="I6" s="8">
        <v>0</v>
      </c>
      <c r="J6" s="8">
        <v>0</v>
      </c>
      <c r="K6" s="8">
        <v>0</v>
      </c>
      <c r="L6" s="8">
        <v>0</v>
      </c>
      <c r="M6" s="8">
        <v>0</v>
      </c>
      <c r="N6" s="8">
        <v>0</v>
      </c>
      <c r="O6" s="8">
        <v>0</v>
      </c>
      <c r="P6" s="8">
        <v>0</v>
      </c>
      <c r="Q6" s="8">
        <v>0</v>
      </c>
      <c r="R6" s="8">
        <v>0</v>
      </c>
      <c r="S6" s="8">
        <v>0</v>
      </c>
      <c r="T6" s="8">
        <v>0</v>
      </c>
      <c r="U6" s="8">
        <v>0</v>
      </c>
      <c r="V6" s="8">
        <v>0</v>
      </c>
      <c r="W6" s="8">
        <v>0</v>
      </c>
      <c r="X6" s="8">
        <v>0</v>
      </c>
      <c r="Y6" s="8">
        <v>0</v>
      </c>
      <c r="Z6" s="8">
        <v>0</v>
      </c>
      <c r="AA6" s="8">
        <v>0</v>
      </c>
      <c r="AB6" s="8">
        <v>0</v>
      </c>
      <c r="AC6" s="8">
        <v>0</v>
      </c>
      <c r="AD6" s="8">
        <v>0</v>
      </c>
      <c r="AE6" s="8">
        <v>0</v>
      </c>
      <c r="AF6" s="8">
        <v>0</v>
      </c>
      <c r="AG6" s="8">
        <v>0</v>
      </c>
      <c r="AH6" s="8">
        <v>0</v>
      </c>
      <c r="AI6" s="8">
        <v>0</v>
      </c>
      <c r="AJ6" s="8">
        <v>0</v>
      </c>
      <c r="AK6" s="8">
        <v>0</v>
      </c>
      <c r="AL6" s="8">
        <v>0</v>
      </c>
      <c r="AM6" s="8">
        <v>0</v>
      </c>
      <c r="AN6" s="8">
        <v>0</v>
      </c>
      <c r="AO6" s="8">
        <v>0</v>
      </c>
      <c r="AP6" s="8">
        <v>0</v>
      </c>
      <c r="AQ6" s="8">
        <v>0</v>
      </c>
      <c r="AR6" s="8">
        <v>0</v>
      </c>
      <c r="AS6" s="8">
        <v>0</v>
      </c>
      <c r="AT6" s="8">
        <v>0</v>
      </c>
      <c r="AU6" s="8">
        <v>0</v>
      </c>
      <c r="AV6" s="8">
        <v>0</v>
      </c>
      <c r="AW6" s="8">
        <v>0</v>
      </c>
      <c r="AX6" s="8">
        <v>0</v>
      </c>
      <c r="AY6" s="8">
        <v>0</v>
      </c>
      <c r="AZ6" s="8">
        <v>0</v>
      </c>
    </row>
    <row r="7" spans="1:52">
      <c r="A7" s="1" t="s">
        <v>124</v>
      </c>
      <c r="B7" s="8">
        <v>0</v>
      </c>
      <c r="C7" s="8">
        <v>0</v>
      </c>
      <c r="D7" s="8">
        <v>0</v>
      </c>
      <c r="E7" s="8">
        <v>0</v>
      </c>
      <c r="F7" s="8">
        <v>0</v>
      </c>
      <c r="G7" s="8">
        <v>0</v>
      </c>
      <c r="H7" s="8">
        <v>0</v>
      </c>
      <c r="I7" s="8">
        <v>0</v>
      </c>
      <c r="J7" s="8">
        <v>0</v>
      </c>
      <c r="K7" s="8">
        <v>0</v>
      </c>
      <c r="L7" s="8">
        <v>0</v>
      </c>
      <c r="M7" s="8">
        <v>0</v>
      </c>
      <c r="N7" s="8">
        <v>0</v>
      </c>
      <c r="O7" s="8">
        <v>0</v>
      </c>
      <c r="P7" s="8">
        <v>0</v>
      </c>
      <c r="Q7" s="8">
        <v>0</v>
      </c>
      <c r="R7" s="8">
        <v>0</v>
      </c>
      <c r="S7" s="8">
        <v>0</v>
      </c>
      <c r="T7" s="8">
        <v>0</v>
      </c>
      <c r="U7" s="8">
        <v>0</v>
      </c>
      <c r="V7" s="8">
        <v>0</v>
      </c>
      <c r="W7" s="8">
        <v>0</v>
      </c>
      <c r="X7" s="8">
        <v>0</v>
      </c>
      <c r="Y7" s="8">
        <v>0</v>
      </c>
      <c r="Z7" s="8">
        <v>0</v>
      </c>
      <c r="AA7" s="8">
        <v>0</v>
      </c>
      <c r="AB7" s="8">
        <v>0</v>
      </c>
      <c r="AC7" s="8">
        <v>0</v>
      </c>
      <c r="AD7" s="8">
        <v>0</v>
      </c>
      <c r="AE7" s="8">
        <v>0</v>
      </c>
      <c r="AF7" s="8">
        <v>0</v>
      </c>
      <c r="AG7" s="8">
        <v>0</v>
      </c>
      <c r="AH7" s="8">
        <v>0</v>
      </c>
      <c r="AI7" s="8">
        <v>0</v>
      </c>
      <c r="AJ7" s="8">
        <v>0</v>
      </c>
      <c r="AK7" s="8">
        <v>0</v>
      </c>
      <c r="AL7" s="8">
        <v>0</v>
      </c>
      <c r="AM7" s="8">
        <v>0</v>
      </c>
      <c r="AN7" s="8">
        <v>0</v>
      </c>
      <c r="AO7" s="8">
        <v>0</v>
      </c>
      <c r="AP7" s="8">
        <v>0</v>
      </c>
      <c r="AQ7" s="8">
        <v>0</v>
      </c>
      <c r="AR7" s="8">
        <v>0</v>
      </c>
      <c r="AS7" s="8">
        <v>0</v>
      </c>
      <c r="AT7" s="8">
        <v>0</v>
      </c>
      <c r="AU7" s="8">
        <v>0</v>
      </c>
      <c r="AV7" s="8">
        <v>0</v>
      </c>
      <c r="AW7" s="8">
        <v>0</v>
      </c>
      <c r="AX7" s="8">
        <v>0</v>
      </c>
      <c r="AY7" s="8">
        <v>0</v>
      </c>
      <c r="AZ7" s="8">
        <v>0</v>
      </c>
    </row>
    <row r="8" spans="1:52">
      <c r="A8" s="5" t="s">
        <v>30</v>
      </c>
      <c r="B8" s="8">
        <v>0</v>
      </c>
      <c r="C8" s="8">
        <v>0</v>
      </c>
      <c r="D8" s="8">
        <v>0</v>
      </c>
      <c r="E8" s="8">
        <v>0</v>
      </c>
      <c r="F8" s="8">
        <v>0</v>
      </c>
      <c r="G8" s="8">
        <v>0</v>
      </c>
      <c r="H8" s="8">
        <v>0</v>
      </c>
      <c r="I8" s="8">
        <v>0</v>
      </c>
      <c r="J8" s="8">
        <v>0</v>
      </c>
      <c r="K8" s="8">
        <v>0</v>
      </c>
      <c r="L8" s="8">
        <v>0</v>
      </c>
      <c r="M8" s="8">
        <v>0</v>
      </c>
      <c r="N8" s="8">
        <v>0</v>
      </c>
      <c r="O8" s="8">
        <v>0</v>
      </c>
      <c r="P8" s="8">
        <v>0</v>
      </c>
      <c r="Q8" s="8">
        <v>0</v>
      </c>
      <c r="R8" s="8">
        <v>0</v>
      </c>
      <c r="S8" s="8">
        <v>0</v>
      </c>
      <c r="T8" s="8">
        <v>0</v>
      </c>
      <c r="U8" s="8">
        <v>0</v>
      </c>
      <c r="V8" s="8">
        <v>0</v>
      </c>
      <c r="W8" s="8">
        <v>0</v>
      </c>
      <c r="X8" s="8">
        <v>0</v>
      </c>
      <c r="Y8" s="8">
        <v>0</v>
      </c>
      <c r="Z8" s="8">
        <v>0</v>
      </c>
      <c r="AA8" s="8">
        <v>0</v>
      </c>
      <c r="AB8" s="8">
        <v>0</v>
      </c>
      <c r="AC8" s="8">
        <v>0</v>
      </c>
      <c r="AD8" s="8">
        <v>0</v>
      </c>
      <c r="AE8" s="8">
        <v>0</v>
      </c>
      <c r="AF8" s="8">
        <v>0</v>
      </c>
      <c r="AG8" s="8">
        <v>0</v>
      </c>
      <c r="AH8" s="8">
        <v>0</v>
      </c>
      <c r="AI8" s="8">
        <v>0</v>
      </c>
      <c r="AJ8" s="8">
        <v>0</v>
      </c>
      <c r="AK8" s="8">
        <v>0</v>
      </c>
      <c r="AL8" s="8">
        <v>0</v>
      </c>
      <c r="AM8" s="8">
        <v>0</v>
      </c>
      <c r="AN8" s="8">
        <v>0</v>
      </c>
      <c r="AO8" s="8">
        <v>0</v>
      </c>
      <c r="AP8" s="8">
        <v>0</v>
      </c>
      <c r="AQ8" s="8">
        <v>0</v>
      </c>
      <c r="AR8" s="8">
        <v>0</v>
      </c>
      <c r="AS8" s="8">
        <v>0</v>
      </c>
      <c r="AT8" s="8">
        <v>0</v>
      </c>
      <c r="AU8" s="8">
        <v>0</v>
      </c>
      <c r="AV8" s="8">
        <v>0</v>
      </c>
      <c r="AW8" s="8">
        <v>0</v>
      </c>
      <c r="AX8" s="8">
        <v>0</v>
      </c>
      <c r="AY8" s="8">
        <v>0</v>
      </c>
      <c r="AZ8" s="8">
        <v>0</v>
      </c>
    </row>
    <row r="9" spans="1:52">
      <c r="A9" s="5" t="s">
        <v>33</v>
      </c>
      <c r="B9" s="8">
        <v>0</v>
      </c>
      <c r="C9" s="8">
        <v>0</v>
      </c>
      <c r="D9" s="8">
        <v>0</v>
      </c>
      <c r="E9" s="8">
        <v>0</v>
      </c>
      <c r="F9" s="8">
        <v>0</v>
      </c>
      <c r="G9" s="8">
        <v>0</v>
      </c>
      <c r="H9" s="8">
        <v>0</v>
      </c>
      <c r="I9" s="8">
        <v>0</v>
      </c>
      <c r="J9" s="8">
        <v>0</v>
      </c>
      <c r="K9" s="8">
        <v>0</v>
      </c>
      <c r="L9" s="8">
        <v>0</v>
      </c>
      <c r="M9" s="8">
        <v>0</v>
      </c>
      <c r="N9" s="8">
        <v>0</v>
      </c>
      <c r="O9" s="8">
        <v>0</v>
      </c>
      <c r="P9" s="8">
        <v>0</v>
      </c>
      <c r="Q9" s="8">
        <v>0</v>
      </c>
      <c r="R9" s="8">
        <v>0</v>
      </c>
      <c r="S9" s="8">
        <v>0</v>
      </c>
      <c r="T9" s="8">
        <v>0</v>
      </c>
      <c r="U9" s="8">
        <v>0</v>
      </c>
      <c r="V9" s="8">
        <v>0</v>
      </c>
      <c r="W9" s="8">
        <v>0</v>
      </c>
      <c r="X9" s="8">
        <v>0</v>
      </c>
      <c r="Y9" s="8">
        <v>0</v>
      </c>
      <c r="Z9" s="8">
        <v>0</v>
      </c>
      <c r="AA9" s="8">
        <v>0</v>
      </c>
      <c r="AB9" s="8">
        <v>0</v>
      </c>
      <c r="AC9" s="8">
        <v>0</v>
      </c>
      <c r="AD9" s="8">
        <v>0</v>
      </c>
      <c r="AE9" s="8">
        <v>0</v>
      </c>
      <c r="AF9" s="8">
        <v>0</v>
      </c>
      <c r="AG9" s="8">
        <v>0</v>
      </c>
      <c r="AH9" s="8">
        <v>0</v>
      </c>
      <c r="AI9" s="8">
        <v>0</v>
      </c>
      <c r="AJ9" s="8">
        <v>0</v>
      </c>
      <c r="AK9" s="8">
        <v>0</v>
      </c>
      <c r="AL9" s="8">
        <v>0</v>
      </c>
      <c r="AM9" s="8">
        <v>0</v>
      </c>
      <c r="AN9" s="8">
        <v>0</v>
      </c>
      <c r="AO9" s="8">
        <v>0</v>
      </c>
      <c r="AP9" s="8">
        <v>0</v>
      </c>
      <c r="AQ9" s="8">
        <v>0</v>
      </c>
      <c r="AR9" s="8">
        <v>0</v>
      </c>
      <c r="AS9" s="8">
        <v>0</v>
      </c>
      <c r="AT9" s="8">
        <v>0</v>
      </c>
      <c r="AU9" s="8">
        <v>0</v>
      </c>
      <c r="AV9" s="8">
        <v>0</v>
      </c>
      <c r="AW9" s="8">
        <v>0</v>
      </c>
      <c r="AX9" s="8">
        <v>0</v>
      </c>
      <c r="AY9" s="8">
        <v>0</v>
      </c>
      <c r="AZ9" s="8">
        <v>0</v>
      </c>
    </row>
    <row r="10" spans="1:52">
      <c r="A10" s="1" t="s">
        <v>125</v>
      </c>
      <c r="B10" s="8">
        <v>0</v>
      </c>
      <c r="C10" s="8">
        <v>0</v>
      </c>
      <c r="D10" s="8">
        <v>0</v>
      </c>
      <c r="E10" s="8">
        <v>0</v>
      </c>
      <c r="F10" s="8">
        <v>0</v>
      </c>
      <c r="G10" s="8">
        <v>0</v>
      </c>
      <c r="H10" s="8">
        <v>0</v>
      </c>
      <c r="I10" s="8">
        <v>0</v>
      </c>
      <c r="J10" s="8">
        <v>0</v>
      </c>
      <c r="K10" s="8">
        <v>0</v>
      </c>
      <c r="L10" s="8">
        <v>0</v>
      </c>
      <c r="M10" s="8">
        <v>0</v>
      </c>
      <c r="N10" s="8">
        <v>0</v>
      </c>
      <c r="O10" s="8">
        <v>0</v>
      </c>
      <c r="P10" s="8">
        <v>0</v>
      </c>
      <c r="Q10" s="8">
        <v>0</v>
      </c>
      <c r="R10" s="8">
        <v>0</v>
      </c>
      <c r="S10" s="8">
        <v>0</v>
      </c>
      <c r="T10" s="8">
        <v>0</v>
      </c>
      <c r="U10" s="8">
        <v>0</v>
      </c>
      <c r="V10" s="8">
        <v>0</v>
      </c>
      <c r="W10" s="8">
        <v>0</v>
      </c>
      <c r="X10" s="8">
        <v>0</v>
      </c>
      <c r="Y10" s="8">
        <v>0</v>
      </c>
      <c r="Z10" s="8">
        <v>0</v>
      </c>
      <c r="AA10" s="8">
        <v>0</v>
      </c>
      <c r="AB10" s="8">
        <v>0</v>
      </c>
      <c r="AC10" s="8">
        <v>0</v>
      </c>
      <c r="AD10" s="8">
        <v>0</v>
      </c>
      <c r="AE10" s="8">
        <v>0</v>
      </c>
      <c r="AF10" s="8">
        <v>0</v>
      </c>
      <c r="AG10" s="8">
        <v>0</v>
      </c>
      <c r="AH10" s="8">
        <v>0</v>
      </c>
      <c r="AI10" s="8">
        <v>0</v>
      </c>
      <c r="AJ10" s="8">
        <v>0</v>
      </c>
      <c r="AK10" s="8">
        <v>0</v>
      </c>
      <c r="AL10" s="8">
        <v>0</v>
      </c>
      <c r="AM10" s="8">
        <v>0</v>
      </c>
      <c r="AN10" s="8">
        <v>0</v>
      </c>
      <c r="AO10" s="8">
        <v>0</v>
      </c>
      <c r="AP10" s="8">
        <v>0</v>
      </c>
      <c r="AQ10" s="8">
        <v>0</v>
      </c>
      <c r="AR10" s="8">
        <v>0</v>
      </c>
      <c r="AS10" s="8">
        <v>0</v>
      </c>
      <c r="AT10" s="8">
        <v>0</v>
      </c>
      <c r="AU10" s="8">
        <v>0</v>
      </c>
      <c r="AV10" s="8">
        <v>0</v>
      </c>
      <c r="AW10" s="8">
        <v>0</v>
      </c>
      <c r="AX10" s="8">
        <v>0</v>
      </c>
      <c r="AY10" s="8">
        <v>0</v>
      </c>
      <c r="AZ10" s="8">
        <v>0</v>
      </c>
    </row>
    <row r="11" spans="1:52">
      <c r="A11" s="5" t="s">
        <v>32</v>
      </c>
      <c r="B11" s="8">
        <v>0</v>
      </c>
      <c r="C11" s="8">
        <v>0</v>
      </c>
      <c r="D11" s="8">
        <v>0</v>
      </c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8">
        <v>0</v>
      </c>
      <c r="K11" s="8">
        <v>0</v>
      </c>
      <c r="L11" s="8">
        <v>0</v>
      </c>
      <c r="M11" s="8">
        <v>0</v>
      </c>
      <c r="N11" s="8">
        <v>0</v>
      </c>
      <c r="O11" s="8">
        <v>0</v>
      </c>
      <c r="P11" s="8">
        <v>0</v>
      </c>
      <c r="Q11" s="8">
        <v>0</v>
      </c>
      <c r="R11" s="8">
        <v>0</v>
      </c>
      <c r="S11" s="8">
        <v>0</v>
      </c>
      <c r="T11" s="8">
        <v>0</v>
      </c>
      <c r="U11" s="8">
        <v>0</v>
      </c>
      <c r="V11" s="8">
        <v>0</v>
      </c>
      <c r="W11" s="8">
        <v>0</v>
      </c>
      <c r="X11" s="8">
        <v>0</v>
      </c>
      <c r="Y11" s="8">
        <v>0</v>
      </c>
      <c r="Z11" s="8">
        <v>0</v>
      </c>
      <c r="AA11" s="8">
        <v>0</v>
      </c>
      <c r="AB11" s="8">
        <v>0</v>
      </c>
      <c r="AC11" s="8">
        <v>0</v>
      </c>
      <c r="AD11" s="8">
        <v>0</v>
      </c>
      <c r="AE11" s="8">
        <v>0</v>
      </c>
      <c r="AF11" s="8">
        <v>0</v>
      </c>
      <c r="AG11" s="8">
        <v>0</v>
      </c>
      <c r="AH11" s="8">
        <v>0</v>
      </c>
      <c r="AI11" s="8">
        <v>0</v>
      </c>
      <c r="AJ11" s="8">
        <v>0</v>
      </c>
      <c r="AK11" s="8">
        <v>0</v>
      </c>
      <c r="AL11" s="8">
        <v>0</v>
      </c>
      <c r="AM11" s="8">
        <v>0</v>
      </c>
      <c r="AN11" s="8">
        <v>0</v>
      </c>
      <c r="AO11" s="8">
        <v>0</v>
      </c>
      <c r="AP11" s="8">
        <v>0</v>
      </c>
      <c r="AQ11" s="8">
        <v>0</v>
      </c>
      <c r="AR11" s="8">
        <v>0</v>
      </c>
      <c r="AS11" s="8">
        <v>0</v>
      </c>
      <c r="AT11" s="8">
        <v>0</v>
      </c>
      <c r="AU11" s="8">
        <v>0</v>
      </c>
      <c r="AV11" s="8">
        <v>0</v>
      </c>
      <c r="AW11" s="8">
        <v>0</v>
      </c>
      <c r="AX11" s="8">
        <v>0</v>
      </c>
      <c r="AY11" s="8">
        <v>0</v>
      </c>
      <c r="AZ11" s="8">
        <v>0</v>
      </c>
    </row>
    <row r="12" spans="1:52">
      <c r="A12" s="5" t="s">
        <v>31</v>
      </c>
      <c r="B12" s="8">
        <v>0</v>
      </c>
      <c r="C12" s="8">
        <v>0</v>
      </c>
      <c r="D12" s="8">
        <v>0</v>
      </c>
      <c r="E12" s="8">
        <v>0</v>
      </c>
      <c r="F12" s="8">
        <v>0</v>
      </c>
      <c r="G12" s="8">
        <v>0</v>
      </c>
      <c r="H12" s="8">
        <v>0</v>
      </c>
      <c r="I12" s="8">
        <v>0</v>
      </c>
      <c r="J12" s="8">
        <v>0</v>
      </c>
      <c r="K12" s="8">
        <v>0</v>
      </c>
      <c r="L12" s="8">
        <v>0</v>
      </c>
      <c r="M12" s="8">
        <v>0</v>
      </c>
      <c r="N12" s="8">
        <v>0</v>
      </c>
      <c r="O12" s="8">
        <v>0</v>
      </c>
      <c r="P12" s="8">
        <v>0</v>
      </c>
      <c r="Q12" s="8">
        <v>0</v>
      </c>
      <c r="R12" s="8">
        <v>0</v>
      </c>
      <c r="S12" s="8">
        <v>0</v>
      </c>
      <c r="T12" s="8">
        <v>0</v>
      </c>
      <c r="U12" s="8">
        <v>0</v>
      </c>
      <c r="V12" s="8">
        <v>0</v>
      </c>
      <c r="W12" s="8">
        <v>0</v>
      </c>
      <c r="X12" s="8">
        <v>0</v>
      </c>
      <c r="Y12" s="8">
        <v>0</v>
      </c>
      <c r="Z12" s="8">
        <v>0</v>
      </c>
      <c r="AA12" s="8">
        <v>0</v>
      </c>
      <c r="AB12" s="8">
        <v>0</v>
      </c>
      <c r="AC12" s="8">
        <v>0</v>
      </c>
      <c r="AD12" s="8">
        <v>0</v>
      </c>
      <c r="AE12" s="8">
        <v>0</v>
      </c>
      <c r="AF12" s="8">
        <v>0</v>
      </c>
      <c r="AG12" s="8">
        <v>0</v>
      </c>
      <c r="AH12" s="8">
        <v>0</v>
      </c>
      <c r="AI12" s="8">
        <v>0</v>
      </c>
      <c r="AJ12" s="8">
        <v>0</v>
      </c>
      <c r="AK12" s="8">
        <v>0</v>
      </c>
      <c r="AL12" s="8">
        <v>0</v>
      </c>
      <c r="AM12" s="8">
        <v>0</v>
      </c>
      <c r="AN12" s="8">
        <v>0</v>
      </c>
      <c r="AO12" s="8">
        <v>0</v>
      </c>
      <c r="AP12" s="8">
        <v>0</v>
      </c>
      <c r="AQ12" s="8">
        <v>0</v>
      </c>
      <c r="AR12" s="8">
        <v>0</v>
      </c>
      <c r="AS12" s="8">
        <v>0</v>
      </c>
      <c r="AT12" s="8">
        <v>0</v>
      </c>
      <c r="AU12" s="8">
        <v>0</v>
      </c>
      <c r="AV12" s="8">
        <v>0</v>
      </c>
      <c r="AW12" s="8">
        <v>0</v>
      </c>
      <c r="AX12" s="8">
        <v>0</v>
      </c>
      <c r="AY12" s="8">
        <v>0</v>
      </c>
      <c r="AZ12" s="8">
        <v>0</v>
      </c>
    </row>
    <row r="13" spans="1:52">
      <c r="A13" s="5" t="s">
        <v>120</v>
      </c>
      <c r="B13" s="8">
        <v>0</v>
      </c>
      <c r="C13" s="8">
        <v>0</v>
      </c>
      <c r="D13" s="8">
        <v>0</v>
      </c>
      <c r="E13" s="8">
        <v>0</v>
      </c>
      <c r="F13" s="8">
        <v>0</v>
      </c>
      <c r="G13" s="8">
        <v>0</v>
      </c>
      <c r="H13" s="8">
        <v>0</v>
      </c>
      <c r="I13" s="8">
        <v>0</v>
      </c>
      <c r="J13" s="8">
        <v>0</v>
      </c>
      <c r="K13" s="8">
        <v>0</v>
      </c>
      <c r="L13" s="8">
        <v>0</v>
      </c>
      <c r="M13" s="8">
        <v>0</v>
      </c>
      <c r="N13" s="8">
        <v>0</v>
      </c>
      <c r="O13" s="8">
        <v>0</v>
      </c>
      <c r="P13" s="8">
        <v>0</v>
      </c>
      <c r="Q13" s="8">
        <v>0</v>
      </c>
      <c r="R13" s="8">
        <v>564900</v>
      </c>
      <c r="S13" s="8">
        <v>0</v>
      </c>
      <c r="T13" s="8">
        <v>0</v>
      </c>
      <c r="U13" s="8">
        <v>0</v>
      </c>
      <c r="V13" s="8">
        <v>0</v>
      </c>
      <c r="W13" s="8">
        <v>0</v>
      </c>
      <c r="X13" s="8">
        <v>0</v>
      </c>
      <c r="Y13" s="8">
        <v>0</v>
      </c>
      <c r="Z13" s="8">
        <v>0</v>
      </c>
      <c r="AA13" s="8">
        <v>0</v>
      </c>
      <c r="AB13" s="8">
        <v>0</v>
      </c>
      <c r="AC13" s="8">
        <v>0</v>
      </c>
      <c r="AD13" s="8">
        <v>0</v>
      </c>
      <c r="AE13" s="8">
        <v>0</v>
      </c>
      <c r="AF13" s="8">
        <v>0</v>
      </c>
      <c r="AG13" s="8">
        <v>0</v>
      </c>
      <c r="AH13" s="8">
        <v>0</v>
      </c>
      <c r="AI13" s="8">
        <f t="shared" ref="AI13:AI18" si="0">R13*2</f>
        <v>1129800</v>
      </c>
      <c r="AJ13" s="8">
        <v>0</v>
      </c>
      <c r="AK13" s="8">
        <v>0</v>
      </c>
      <c r="AL13" s="8">
        <v>0</v>
      </c>
      <c r="AM13" s="8">
        <v>0</v>
      </c>
      <c r="AN13" s="8">
        <v>0</v>
      </c>
      <c r="AO13" s="8">
        <v>0</v>
      </c>
      <c r="AP13" s="8">
        <v>0</v>
      </c>
      <c r="AQ13" s="8">
        <v>0</v>
      </c>
      <c r="AR13" s="8">
        <v>0</v>
      </c>
      <c r="AS13" s="8">
        <v>0</v>
      </c>
      <c r="AT13" s="8">
        <v>0</v>
      </c>
      <c r="AU13" s="8">
        <v>0</v>
      </c>
      <c r="AV13" s="8">
        <v>0</v>
      </c>
      <c r="AW13" s="8">
        <v>0</v>
      </c>
      <c r="AX13" s="8">
        <v>0</v>
      </c>
      <c r="AY13" s="8">
        <v>0</v>
      </c>
      <c r="AZ13" s="8">
        <f>R13*3</f>
        <v>1694700</v>
      </c>
    </row>
    <row r="14" spans="1:52">
      <c r="A14" s="5" t="s">
        <v>119</v>
      </c>
      <c r="B14" s="8">
        <v>0</v>
      </c>
      <c r="C14" s="8">
        <v>0</v>
      </c>
      <c r="D14" s="8">
        <v>0</v>
      </c>
      <c r="E14" s="8">
        <v>0</v>
      </c>
      <c r="F14" s="8">
        <v>0</v>
      </c>
      <c r="G14" s="8">
        <v>0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f ca="1">U14:X15</f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8">
        <v>0</v>
      </c>
      <c r="AG14" s="8">
        <v>0</v>
      </c>
      <c r="AH14" s="8">
        <v>0</v>
      </c>
      <c r="AI14" s="8">
        <f t="shared" si="0"/>
        <v>0</v>
      </c>
      <c r="AJ14" s="8">
        <v>0</v>
      </c>
      <c r="AK14" s="8">
        <v>0</v>
      </c>
      <c r="AL14" s="8">
        <v>0</v>
      </c>
      <c r="AM14" s="8">
        <v>0</v>
      </c>
      <c r="AN14" s="8">
        <v>0</v>
      </c>
      <c r="AO14" s="8">
        <v>0</v>
      </c>
      <c r="AP14" s="8">
        <v>0</v>
      </c>
      <c r="AQ14" s="8">
        <v>0</v>
      </c>
      <c r="AR14" s="8">
        <v>0</v>
      </c>
      <c r="AS14" s="8">
        <v>0</v>
      </c>
      <c r="AT14" s="8">
        <v>0</v>
      </c>
      <c r="AU14" s="8">
        <v>0</v>
      </c>
      <c r="AV14" s="8">
        <v>0</v>
      </c>
      <c r="AW14" s="8">
        <v>0</v>
      </c>
      <c r="AX14" s="8">
        <v>0</v>
      </c>
      <c r="AY14" s="8">
        <v>0</v>
      </c>
      <c r="AZ14" s="8">
        <f t="shared" ref="AZ14:AZ18" si="1">R14*3</f>
        <v>0</v>
      </c>
    </row>
    <row r="15" spans="1:52">
      <c r="A15" s="5" t="s">
        <v>122</v>
      </c>
      <c r="B15" s="8">
        <v>0</v>
      </c>
      <c r="C15" s="8">
        <v>0</v>
      </c>
      <c r="D15" s="8">
        <v>0</v>
      </c>
      <c r="E15" s="8">
        <v>0</v>
      </c>
      <c r="F15" s="8">
        <v>0</v>
      </c>
      <c r="G15" s="8">
        <v>0</v>
      </c>
      <c r="H15" s="8">
        <v>0</v>
      </c>
      <c r="I15" s="8">
        <v>0</v>
      </c>
      <c r="J15" s="8">
        <v>0</v>
      </c>
      <c r="K15" s="8">
        <v>0</v>
      </c>
      <c r="L15" s="8">
        <v>0</v>
      </c>
      <c r="M15" s="8">
        <v>0</v>
      </c>
      <c r="N15" s="8">
        <v>0</v>
      </c>
      <c r="O15" s="8">
        <v>0</v>
      </c>
      <c r="P15" s="8">
        <v>0</v>
      </c>
      <c r="Q15" s="8">
        <v>0</v>
      </c>
      <c r="R15" s="8">
        <v>600000</v>
      </c>
      <c r="S15" s="8">
        <v>0</v>
      </c>
      <c r="T15" s="8">
        <v>0</v>
      </c>
      <c r="U15" s="8">
        <v>0</v>
      </c>
      <c r="V15" s="8">
        <v>0</v>
      </c>
      <c r="W15" s="8">
        <v>0</v>
      </c>
      <c r="X15" s="8">
        <v>0</v>
      </c>
      <c r="Y15" s="8">
        <v>0</v>
      </c>
      <c r="Z15" s="8">
        <v>0</v>
      </c>
      <c r="AA15" s="8">
        <v>0</v>
      </c>
      <c r="AB15" s="8">
        <v>0</v>
      </c>
      <c r="AC15" s="8">
        <v>0</v>
      </c>
      <c r="AD15" s="8">
        <v>0</v>
      </c>
      <c r="AE15" s="8">
        <v>0</v>
      </c>
      <c r="AF15" s="8">
        <v>0</v>
      </c>
      <c r="AG15" s="8">
        <v>0</v>
      </c>
      <c r="AH15" s="8">
        <v>0</v>
      </c>
      <c r="AI15" s="8">
        <f t="shared" si="0"/>
        <v>1200000</v>
      </c>
      <c r="AJ15" s="8">
        <v>0</v>
      </c>
      <c r="AK15" s="8">
        <v>0</v>
      </c>
      <c r="AL15" s="8">
        <v>0</v>
      </c>
      <c r="AM15" s="8">
        <v>0</v>
      </c>
      <c r="AN15" s="8">
        <v>0</v>
      </c>
      <c r="AO15" s="8">
        <v>0</v>
      </c>
      <c r="AP15" s="8">
        <v>0</v>
      </c>
      <c r="AQ15" s="8">
        <v>0</v>
      </c>
      <c r="AR15" s="8">
        <v>0</v>
      </c>
      <c r="AS15" s="8">
        <v>0</v>
      </c>
      <c r="AT15" s="8">
        <v>0</v>
      </c>
      <c r="AU15" s="8">
        <v>0</v>
      </c>
      <c r="AV15" s="8">
        <v>0</v>
      </c>
      <c r="AW15" s="8">
        <v>0</v>
      </c>
      <c r="AX15" s="8">
        <v>0</v>
      </c>
      <c r="AY15" s="8">
        <v>0</v>
      </c>
      <c r="AZ15" s="8">
        <f t="shared" si="1"/>
        <v>1800000</v>
      </c>
    </row>
    <row r="16" spans="1:52">
      <c r="A16" s="5" t="s">
        <v>121</v>
      </c>
      <c r="B16" s="8">
        <v>0</v>
      </c>
      <c r="C16" s="8">
        <v>0</v>
      </c>
      <c r="D16" s="8">
        <v>0</v>
      </c>
      <c r="E16" s="8">
        <v>0</v>
      </c>
      <c r="F16" s="8">
        <v>0</v>
      </c>
      <c r="G16" s="8">
        <v>0</v>
      </c>
      <c r="H16" s="8">
        <v>0</v>
      </c>
      <c r="I16" s="8">
        <v>0</v>
      </c>
      <c r="J16" s="8">
        <v>0</v>
      </c>
      <c r="K16" s="8">
        <v>0</v>
      </c>
      <c r="L16" s="8">
        <v>0</v>
      </c>
      <c r="M16" s="8">
        <v>0</v>
      </c>
      <c r="N16" s="8">
        <v>0</v>
      </c>
      <c r="O16" s="8">
        <v>0</v>
      </c>
      <c r="P16" s="8">
        <v>0</v>
      </c>
      <c r="Q16" s="8">
        <v>0</v>
      </c>
      <c r="R16" s="8">
        <v>0</v>
      </c>
      <c r="S16" s="8">
        <v>0</v>
      </c>
      <c r="T16" s="8">
        <v>0</v>
      </c>
      <c r="U16" s="8">
        <v>0</v>
      </c>
      <c r="V16" s="8">
        <v>0</v>
      </c>
      <c r="W16" s="8">
        <v>0</v>
      </c>
      <c r="X16" s="8">
        <v>0</v>
      </c>
      <c r="Y16" s="8">
        <v>0</v>
      </c>
      <c r="Z16" s="8">
        <v>0</v>
      </c>
      <c r="AA16" s="8">
        <v>0</v>
      </c>
      <c r="AB16" s="8">
        <v>0</v>
      </c>
      <c r="AC16" s="8">
        <v>0</v>
      </c>
      <c r="AD16" s="8">
        <v>0</v>
      </c>
      <c r="AE16" s="8">
        <v>0</v>
      </c>
      <c r="AF16" s="8">
        <v>0</v>
      </c>
      <c r="AG16" s="8">
        <v>0</v>
      </c>
      <c r="AH16" s="8">
        <v>0</v>
      </c>
      <c r="AI16" s="8">
        <f t="shared" si="0"/>
        <v>0</v>
      </c>
      <c r="AJ16" s="8">
        <v>0</v>
      </c>
      <c r="AK16" s="8">
        <v>0</v>
      </c>
      <c r="AL16" s="8">
        <v>0</v>
      </c>
      <c r="AM16" s="8">
        <v>0</v>
      </c>
      <c r="AN16" s="8">
        <v>0</v>
      </c>
      <c r="AO16" s="8">
        <v>0</v>
      </c>
      <c r="AP16" s="8">
        <v>0</v>
      </c>
      <c r="AQ16" s="8">
        <v>0</v>
      </c>
      <c r="AR16" s="8">
        <v>0</v>
      </c>
      <c r="AS16" s="8">
        <v>0</v>
      </c>
      <c r="AT16" s="8">
        <v>0</v>
      </c>
      <c r="AU16" s="8">
        <v>0</v>
      </c>
      <c r="AV16" s="8">
        <v>0</v>
      </c>
      <c r="AW16" s="8">
        <v>0</v>
      </c>
      <c r="AX16" s="8">
        <v>0</v>
      </c>
      <c r="AY16" s="8">
        <v>0</v>
      </c>
      <c r="AZ16" s="8">
        <f t="shared" si="1"/>
        <v>0</v>
      </c>
    </row>
    <row r="17" spans="1:53">
      <c r="A17" s="5" t="s">
        <v>118</v>
      </c>
      <c r="B17" s="8">
        <v>0</v>
      </c>
      <c r="C17" s="8">
        <v>0</v>
      </c>
      <c r="D17" s="8">
        <v>0</v>
      </c>
      <c r="E17" s="8">
        <v>0</v>
      </c>
      <c r="F17" s="8">
        <v>0</v>
      </c>
      <c r="G17" s="8">
        <v>0</v>
      </c>
      <c r="H17" s="8">
        <v>0</v>
      </c>
      <c r="I17" s="8">
        <v>0</v>
      </c>
      <c r="J17" s="8">
        <v>0</v>
      </c>
      <c r="K17" s="8">
        <v>0</v>
      </c>
      <c r="L17" s="8">
        <v>0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342529</v>
      </c>
      <c r="S17" s="8">
        <v>0</v>
      </c>
      <c r="T17" s="8">
        <v>0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0</v>
      </c>
      <c r="AB17" s="8">
        <v>0</v>
      </c>
      <c r="AC17" s="8">
        <v>0</v>
      </c>
      <c r="AD17" s="8">
        <v>0</v>
      </c>
      <c r="AE17" s="8">
        <v>0</v>
      </c>
      <c r="AF17" s="8">
        <v>0</v>
      </c>
      <c r="AG17" s="8">
        <v>0</v>
      </c>
      <c r="AH17" s="8">
        <v>0</v>
      </c>
      <c r="AI17" s="8">
        <f t="shared" si="0"/>
        <v>685058</v>
      </c>
      <c r="AJ17" s="8">
        <v>0</v>
      </c>
      <c r="AK17" s="8">
        <v>0</v>
      </c>
      <c r="AL17" s="8">
        <v>0</v>
      </c>
      <c r="AM17" s="8">
        <v>0</v>
      </c>
      <c r="AN17" s="8">
        <v>0</v>
      </c>
      <c r="AO17" s="8">
        <v>0</v>
      </c>
      <c r="AP17" s="8">
        <v>0</v>
      </c>
      <c r="AQ17" s="8">
        <v>0</v>
      </c>
      <c r="AR17" s="8">
        <v>0</v>
      </c>
      <c r="AS17" s="8">
        <v>0</v>
      </c>
      <c r="AT17" s="8">
        <v>0</v>
      </c>
      <c r="AU17" s="8">
        <v>0</v>
      </c>
      <c r="AV17" s="8">
        <v>0</v>
      </c>
      <c r="AW17" s="8">
        <v>0</v>
      </c>
      <c r="AX17" s="8">
        <v>0</v>
      </c>
      <c r="AY17" s="8">
        <v>0</v>
      </c>
      <c r="AZ17" s="8">
        <f t="shared" si="1"/>
        <v>1027587</v>
      </c>
    </row>
    <row r="18" spans="1:53">
      <c r="A18" s="5" t="s">
        <v>123</v>
      </c>
      <c r="B18" s="8">
        <v>0</v>
      </c>
      <c r="C18" s="8">
        <v>0</v>
      </c>
      <c r="D18" s="8">
        <v>0</v>
      </c>
      <c r="E18" s="8">
        <v>0</v>
      </c>
      <c r="F18" s="8">
        <v>0</v>
      </c>
      <c r="G18" s="8">
        <v>0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v>0</v>
      </c>
      <c r="AG18" s="8">
        <v>0</v>
      </c>
      <c r="AH18" s="8">
        <v>0</v>
      </c>
      <c r="AI18" s="8">
        <f t="shared" si="0"/>
        <v>0</v>
      </c>
      <c r="AJ18" s="8">
        <v>0</v>
      </c>
      <c r="AK18" s="8">
        <v>0</v>
      </c>
      <c r="AL18" s="8">
        <v>0</v>
      </c>
      <c r="AM18" s="8">
        <v>0</v>
      </c>
      <c r="AN18" s="8">
        <v>0</v>
      </c>
      <c r="AO18" s="8">
        <v>0</v>
      </c>
      <c r="AP18" s="8">
        <v>0</v>
      </c>
      <c r="AQ18" s="8">
        <v>0</v>
      </c>
      <c r="AR18" s="8">
        <v>0</v>
      </c>
      <c r="AS18" s="8">
        <v>0</v>
      </c>
      <c r="AT18" s="8">
        <v>0</v>
      </c>
      <c r="AU18" s="8">
        <v>0</v>
      </c>
      <c r="AV18" s="8">
        <v>0</v>
      </c>
      <c r="AW18" s="8">
        <v>0</v>
      </c>
      <c r="AX18" s="8">
        <v>0</v>
      </c>
      <c r="AY18" s="8">
        <v>0</v>
      </c>
      <c r="AZ18" s="8">
        <f t="shared" si="1"/>
        <v>0</v>
      </c>
    </row>
    <row r="19" spans="1:53">
      <c r="A19" s="1"/>
      <c r="B19" s="1"/>
      <c r="C19" s="1"/>
      <c r="D19" s="1"/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  <c r="AS19" s="1"/>
      <c r="AT19" s="1"/>
      <c r="AU19" s="1"/>
      <c r="AV19" s="1"/>
      <c r="AW19" s="1"/>
      <c r="AX19" s="1"/>
      <c r="AY19" s="1"/>
      <c r="AZ19" s="1"/>
      <c r="BA19" s="1"/>
    </row>
    <row r="20" spans="1:53">
      <c r="A20" s="1"/>
      <c r="B20" s="1"/>
      <c r="C20" s="1"/>
      <c r="D20" s="1"/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  <c r="AS20" s="1"/>
      <c r="AT20" s="1"/>
      <c r="AU20" s="1"/>
      <c r="AV20" s="1"/>
      <c r="AW20" s="1"/>
      <c r="AX20" s="1"/>
      <c r="AY20" s="1"/>
      <c r="AZ20" s="1"/>
      <c r="BA20" s="1"/>
    </row>
    <row r="21" spans="1:53">
      <c r="A21" s="1"/>
      <c r="B21" s="1"/>
      <c r="C21" s="1"/>
      <c r="D21" s="1"/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  <c r="AS21" s="1"/>
      <c r="AT21" s="1"/>
      <c r="AU21" s="1"/>
      <c r="AV21" s="1"/>
      <c r="AW21" s="1"/>
      <c r="AX21" s="1"/>
      <c r="AY21" s="1"/>
      <c r="AZ21" s="1"/>
      <c r="BA21" s="1"/>
    </row>
  </sheetData>
  <mergeCells count="1">
    <mergeCell ref="B2:U2"/>
  </mergeCells>
  <pageMargins left="0.7" right="0.7" top="0.75" bottom="0.75" header="0.3" footer="0.3"/>
  <pageSetup paperSize="9" orientation="portrait"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E25654-A9FA-41C6-9FE3-532F605EA44D}">
  <dimension ref="A2:BX18"/>
  <sheetViews>
    <sheetView topLeftCell="S1" zoomScale="65" zoomScaleNormal="70" workbookViewId="0">
      <selection activeCell="AX12" sqref="AX12"/>
    </sheetView>
  </sheetViews>
  <sheetFormatPr defaultColWidth="10.6640625" defaultRowHeight="24.6"/>
  <cols>
    <col min="1" max="1" width="28.5546875" style="5" customWidth="1"/>
    <col min="2" max="2" width="10.6640625" style="5" hidden="1" customWidth="1"/>
    <col min="3" max="5" width="0" style="5" hidden="1" customWidth="1"/>
    <col min="6" max="7" width="10.6640625" style="21"/>
    <col min="8" max="9" width="0" style="21" hidden="1" customWidth="1"/>
    <col min="10" max="11" width="10.6640625" style="21" hidden="1" customWidth="1"/>
    <col min="12" max="12" width="10.6640625" style="21" customWidth="1"/>
    <col min="13" max="13" width="10.6640625" style="21"/>
    <col min="14" max="15" width="0" style="21" hidden="1" customWidth="1"/>
    <col min="16" max="17" width="10.6640625" style="21" hidden="1" customWidth="1"/>
    <col min="18" max="18" width="10.6640625" style="21" customWidth="1"/>
    <col min="19" max="19" width="10.6640625" style="21"/>
    <col min="20" max="21" width="0" style="21" hidden="1" customWidth="1"/>
    <col min="22" max="23" width="10.6640625" style="21" hidden="1" customWidth="1"/>
    <col min="24" max="24" width="10.6640625" style="21" customWidth="1"/>
    <col min="25" max="25" width="10.6640625" style="21"/>
    <col min="26" max="28" width="0" style="21" hidden="1" customWidth="1"/>
    <col min="29" max="30" width="10.6640625" style="21" hidden="1" customWidth="1"/>
    <col min="31" max="31" width="10.6640625" style="21" customWidth="1"/>
    <col min="32" max="32" width="10.6640625" style="21"/>
    <col min="33" max="33" width="10.88671875" style="21" hidden="1" customWidth="1"/>
    <col min="34" max="34" width="0" style="21" hidden="1" customWidth="1"/>
    <col min="35" max="36" width="10.6640625" style="21" hidden="1" customWidth="1"/>
    <col min="37" max="37" width="10.6640625" style="21" customWidth="1"/>
    <col min="38" max="38" width="10.6640625" style="21"/>
    <col min="39" max="39" width="11.33203125" style="21" hidden="1" customWidth="1"/>
    <col min="40" max="40" width="0" style="21" hidden="1" customWidth="1"/>
    <col min="41" max="42" width="10.6640625" style="21" hidden="1" customWidth="1"/>
    <col min="43" max="43" width="10.6640625" style="21" customWidth="1"/>
    <col min="44" max="44" width="10.6640625" style="21"/>
    <col min="45" max="46" width="0" style="21" hidden="1" customWidth="1"/>
    <col min="47" max="48" width="10.6640625" style="21" hidden="1" customWidth="1"/>
    <col min="49" max="49" width="10.6640625" style="21" customWidth="1"/>
    <col min="50" max="50" width="10.77734375" style="21" customWidth="1"/>
    <col min="51" max="51" width="0" style="21" hidden="1" customWidth="1"/>
    <col min="52" max="54" width="10.6640625" style="21" hidden="1" customWidth="1"/>
    <col min="55" max="55" width="10.6640625" style="21" customWidth="1"/>
    <col min="56" max="56" width="10.6640625" style="21"/>
    <col min="57" max="58" width="0" style="21" hidden="1" customWidth="1"/>
    <col min="59" max="60" width="10.6640625" style="21" hidden="1" customWidth="1"/>
    <col min="61" max="61" width="10.6640625" style="21" customWidth="1"/>
    <col min="62" max="74" width="10.6640625" style="21"/>
    <col min="75" max="16384" width="10.6640625" style="5"/>
  </cols>
  <sheetData>
    <row r="2" spans="1:76" s="18" customFormat="1">
      <c r="A2" s="64" t="s">
        <v>24</v>
      </c>
      <c r="B2" s="64"/>
      <c r="C2" s="64"/>
      <c r="D2" s="64"/>
      <c r="E2" s="64"/>
      <c r="F2" s="64"/>
      <c r="G2" s="64"/>
      <c r="H2" s="64"/>
      <c r="I2" s="64"/>
      <c r="J2" s="64"/>
      <c r="K2" s="64"/>
      <c r="L2" s="64"/>
      <c r="M2" s="64"/>
      <c r="N2" s="64"/>
      <c r="O2" s="64"/>
      <c r="P2" s="64"/>
      <c r="Q2" s="64"/>
      <c r="R2" s="64"/>
      <c r="S2" s="64"/>
      <c r="T2" s="64"/>
      <c r="U2" s="64"/>
      <c r="V2" s="64"/>
      <c r="W2" s="64"/>
      <c r="X2" s="64"/>
      <c r="Y2" s="64"/>
      <c r="Z2" s="64"/>
      <c r="AA2" s="64"/>
      <c r="AB2" s="64"/>
      <c r="AC2" s="64"/>
      <c r="AD2" s="64"/>
      <c r="AE2" s="64"/>
      <c r="AF2" s="64"/>
      <c r="AG2" s="64"/>
      <c r="AH2" s="64"/>
      <c r="AI2" s="64"/>
      <c r="AJ2" s="64"/>
      <c r="AK2" s="64"/>
      <c r="AL2" s="64"/>
      <c r="AM2" s="64"/>
      <c r="AN2" s="64"/>
      <c r="AO2" s="64"/>
      <c r="AP2" s="64"/>
      <c r="AQ2" s="64"/>
      <c r="AR2" s="64"/>
      <c r="AS2" s="64"/>
      <c r="AT2" s="64"/>
      <c r="AU2" s="64"/>
      <c r="AV2" s="64"/>
      <c r="AW2" s="64"/>
      <c r="AX2" s="64"/>
      <c r="AY2" s="64"/>
      <c r="AZ2" s="64"/>
      <c r="BA2" s="64"/>
      <c r="BB2" s="64"/>
      <c r="BC2" s="64"/>
      <c r="BD2" s="64"/>
      <c r="BE2" s="64"/>
      <c r="BF2" s="64"/>
      <c r="BG2" s="64"/>
      <c r="BH2" s="64"/>
      <c r="BI2" s="64"/>
      <c r="BJ2" s="64"/>
      <c r="BK2" s="64"/>
      <c r="BL2" s="64"/>
      <c r="BM2" s="64"/>
      <c r="BN2" s="64"/>
      <c r="BO2" s="64"/>
      <c r="BP2" s="64"/>
      <c r="BQ2" s="64"/>
      <c r="BR2" s="64"/>
      <c r="BS2" s="64"/>
      <c r="BT2" s="64"/>
      <c r="BU2" s="64"/>
      <c r="BV2" s="64"/>
      <c r="BW2" s="64"/>
      <c r="BX2" s="64"/>
    </row>
    <row r="3" spans="1:76">
      <c r="B3" s="7">
        <v>10000</v>
      </c>
      <c r="C3" s="7">
        <v>20000</v>
      </c>
      <c r="D3" s="7">
        <v>30000</v>
      </c>
      <c r="E3" s="7">
        <v>40000</v>
      </c>
      <c r="F3" s="19">
        <v>40000</v>
      </c>
      <c r="G3" s="19">
        <v>50000</v>
      </c>
      <c r="H3" s="19">
        <v>60000</v>
      </c>
      <c r="I3" s="19">
        <v>70000</v>
      </c>
      <c r="J3" s="19">
        <v>80000</v>
      </c>
      <c r="K3" s="19">
        <v>90000</v>
      </c>
      <c r="L3" s="19">
        <v>80000</v>
      </c>
      <c r="M3" s="19">
        <v>100000</v>
      </c>
      <c r="N3" s="19">
        <v>110000</v>
      </c>
      <c r="O3" s="19">
        <v>120000</v>
      </c>
      <c r="P3" s="19">
        <v>130000</v>
      </c>
      <c r="Q3" s="19">
        <v>140000</v>
      </c>
      <c r="R3" s="19">
        <v>120000</v>
      </c>
      <c r="S3" s="19">
        <v>150000</v>
      </c>
      <c r="T3" s="19">
        <v>160000</v>
      </c>
      <c r="U3" s="19">
        <v>170000</v>
      </c>
      <c r="V3" s="19">
        <v>180000</v>
      </c>
      <c r="W3" s="19">
        <v>190000</v>
      </c>
      <c r="X3" s="19">
        <v>160000</v>
      </c>
      <c r="Y3" s="19">
        <v>200000</v>
      </c>
      <c r="Z3" s="19">
        <v>210000</v>
      </c>
      <c r="AA3" s="19">
        <v>220000</v>
      </c>
      <c r="AB3" s="19">
        <v>225000</v>
      </c>
      <c r="AC3" s="19">
        <v>230000</v>
      </c>
      <c r="AD3" s="19">
        <v>240000</v>
      </c>
      <c r="AE3" s="19">
        <v>240000</v>
      </c>
      <c r="AF3" s="19">
        <v>250000</v>
      </c>
      <c r="AG3" s="19">
        <v>260000</v>
      </c>
      <c r="AH3" s="19">
        <v>270000</v>
      </c>
      <c r="AI3" s="19">
        <v>280000</v>
      </c>
      <c r="AJ3" s="19">
        <v>290000</v>
      </c>
      <c r="AK3" s="19">
        <v>280000</v>
      </c>
      <c r="AL3" s="19">
        <v>300000</v>
      </c>
      <c r="AM3" s="19">
        <v>310000</v>
      </c>
      <c r="AN3" s="19">
        <v>320000</v>
      </c>
      <c r="AO3" s="19">
        <v>330000</v>
      </c>
      <c r="AP3" s="19">
        <v>340000</v>
      </c>
      <c r="AQ3" s="19">
        <v>320000</v>
      </c>
      <c r="AR3" s="19">
        <v>350000</v>
      </c>
      <c r="AS3" s="19">
        <v>360000</v>
      </c>
      <c r="AT3" s="19">
        <v>370000</v>
      </c>
      <c r="AU3" s="19">
        <v>380000</v>
      </c>
      <c r="AV3" s="19">
        <v>390000</v>
      </c>
      <c r="AW3" s="19">
        <v>360000</v>
      </c>
      <c r="AX3" s="19">
        <v>400000</v>
      </c>
      <c r="AY3" s="19">
        <v>410000</v>
      </c>
      <c r="AZ3" s="19">
        <v>420000</v>
      </c>
      <c r="BA3" s="19">
        <v>430000</v>
      </c>
      <c r="BB3" s="19">
        <v>440000</v>
      </c>
      <c r="BC3" s="19">
        <v>440000</v>
      </c>
      <c r="BD3" s="19">
        <v>450000</v>
      </c>
      <c r="BE3" s="19">
        <v>460000</v>
      </c>
      <c r="BF3" s="19">
        <v>470000</v>
      </c>
      <c r="BG3" s="19">
        <v>480000</v>
      </c>
      <c r="BH3" s="19">
        <v>490000</v>
      </c>
      <c r="BI3" s="19">
        <v>480000</v>
      </c>
      <c r="BJ3" s="19">
        <v>500000</v>
      </c>
      <c r="BK3" s="19">
        <v>520000</v>
      </c>
      <c r="BL3" s="20">
        <v>550000</v>
      </c>
      <c r="BM3" s="20">
        <v>560000</v>
      </c>
      <c r="BN3" s="20">
        <v>600000</v>
      </c>
      <c r="BO3" s="20">
        <v>640000</v>
      </c>
      <c r="BP3" s="20">
        <v>650000</v>
      </c>
      <c r="BQ3" s="20">
        <v>680000</v>
      </c>
      <c r="BR3" s="20">
        <v>700000</v>
      </c>
      <c r="BS3" s="20">
        <v>720000</v>
      </c>
      <c r="BT3" s="20">
        <v>750000</v>
      </c>
      <c r="BU3" s="20">
        <v>760000</v>
      </c>
      <c r="BV3" s="20">
        <v>800000</v>
      </c>
    </row>
    <row r="4" spans="1:76">
      <c r="A4" s="5" t="s">
        <v>0</v>
      </c>
      <c r="B4" s="8"/>
      <c r="C4" s="8"/>
      <c r="D4" s="8"/>
      <c r="E4" s="8"/>
    </row>
    <row r="5" spans="1:76">
      <c r="A5" s="5" t="s">
        <v>126</v>
      </c>
      <c r="F5" s="21">
        <v>0</v>
      </c>
      <c r="G5" s="21">
        <v>22050</v>
      </c>
      <c r="L5" s="21">
        <f t="shared" ref="L5" si="0">F5*2</f>
        <v>0</v>
      </c>
      <c r="M5" s="21">
        <f>$G5*2</f>
        <v>44100</v>
      </c>
      <c r="R5" s="21">
        <f t="shared" ref="R5" si="1">F5*3</f>
        <v>0</v>
      </c>
      <c r="S5" s="21">
        <f t="shared" ref="S5" si="2">G5*3</f>
        <v>66150</v>
      </c>
      <c r="X5" s="21">
        <f t="shared" ref="X5" si="3">F5*4</f>
        <v>0</v>
      </c>
      <c r="Y5" s="21">
        <f>G5*4</f>
        <v>88200</v>
      </c>
      <c r="AE5" s="21">
        <f t="shared" ref="AE5" si="4">F5*6</f>
        <v>0</v>
      </c>
      <c r="AF5" s="21">
        <f t="shared" ref="AF5" si="5">G5*5</f>
        <v>110250</v>
      </c>
      <c r="AK5" s="21">
        <f t="shared" ref="AK5" si="6">F5*7</f>
        <v>0</v>
      </c>
      <c r="AL5" s="21">
        <f t="shared" ref="AL5" si="7">G5*6</f>
        <v>132300</v>
      </c>
      <c r="AQ5" s="21">
        <f t="shared" ref="AQ5" si="8">F5*8</f>
        <v>0</v>
      </c>
      <c r="AR5" s="21">
        <f t="shared" ref="AR5" si="9">G5*7</f>
        <v>154350</v>
      </c>
      <c r="AW5" s="21">
        <f t="shared" ref="AW5" si="10">F5*9</f>
        <v>0</v>
      </c>
      <c r="AX5" s="21">
        <f>G5*8</f>
        <v>176400</v>
      </c>
      <c r="BC5" s="21">
        <f t="shared" ref="BC5" si="11">F5*11</f>
        <v>0</v>
      </c>
      <c r="BD5" s="21">
        <f t="shared" ref="BD5:BD18" si="12">$G5*9</f>
        <v>198450</v>
      </c>
      <c r="BI5" s="21">
        <f t="shared" ref="BI5" si="13">F5*12</f>
        <v>0</v>
      </c>
      <c r="BJ5" s="21">
        <f t="shared" ref="BJ5:BJ18" si="14">$G5*10</f>
        <v>220500</v>
      </c>
      <c r="BK5" s="21">
        <f t="shared" ref="BK5" si="15">F5*13</f>
        <v>0</v>
      </c>
      <c r="BL5" s="21">
        <f t="shared" ref="BL5:BL18" si="16">$G5*11</f>
        <v>242550</v>
      </c>
      <c r="BM5" s="21">
        <f t="shared" ref="BM5" si="17">F5*14</f>
        <v>0</v>
      </c>
      <c r="BN5" s="21">
        <f>$G5*12</f>
        <v>264600</v>
      </c>
      <c r="BO5" s="21">
        <f t="shared" ref="BO5" si="18">F5*16</f>
        <v>0</v>
      </c>
      <c r="BP5" s="21">
        <f t="shared" ref="BP5:BP18" si="19">$G5*13</f>
        <v>286650</v>
      </c>
      <c r="BQ5" s="21">
        <f t="shared" ref="BQ5" si="20">F5*17</f>
        <v>0</v>
      </c>
      <c r="BR5" s="21">
        <f t="shared" ref="BR5:BR18" si="21">$G5*14</f>
        <v>308700</v>
      </c>
      <c r="BS5" s="21">
        <f t="shared" ref="BS5" si="22">F5*18</f>
        <v>0</v>
      </c>
      <c r="BT5" s="21">
        <f t="shared" ref="BT5:BT18" si="23">$G5*15</f>
        <v>330750</v>
      </c>
      <c r="BU5" s="21">
        <f t="shared" ref="BU5" si="24">F5*19</f>
        <v>0</v>
      </c>
      <c r="BV5" s="21">
        <f t="shared" ref="BV5:BV18" si="25">$G5*16</f>
        <v>352800</v>
      </c>
    </row>
    <row r="6" spans="1:76">
      <c r="A6" s="5" t="s">
        <v>28</v>
      </c>
      <c r="B6" s="8">
        <v>0</v>
      </c>
      <c r="C6" s="8">
        <v>0</v>
      </c>
      <c r="D6" s="8">
        <v>0</v>
      </c>
      <c r="E6" s="8">
        <v>0</v>
      </c>
      <c r="F6" s="21">
        <v>0</v>
      </c>
      <c r="G6" s="21">
        <v>17000</v>
      </c>
      <c r="H6" s="21">
        <v>17000</v>
      </c>
      <c r="I6" s="21">
        <v>17000</v>
      </c>
      <c r="J6" s="21">
        <v>17000</v>
      </c>
      <c r="K6" s="21">
        <v>17000</v>
      </c>
      <c r="L6" s="21">
        <v>0</v>
      </c>
      <c r="M6" s="21">
        <f>$G6*2</f>
        <v>34000</v>
      </c>
      <c r="N6" s="21">
        <f>$G6*2</f>
        <v>34000</v>
      </c>
      <c r="O6" s="21">
        <f>$G6*2</f>
        <v>34000</v>
      </c>
      <c r="P6" s="21">
        <f>$G6*2</f>
        <v>34000</v>
      </c>
      <c r="Q6" s="21">
        <f>$G6*2</f>
        <v>34000</v>
      </c>
      <c r="R6" s="21">
        <v>0</v>
      </c>
      <c r="S6" s="21">
        <f t="shared" ref="S6:S18" si="26">G6*3</f>
        <v>51000</v>
      </c>
      <c r="T6" s="21">
        <f>$G6*2</f>
        <v>34000</v>
      </c>
      <c r="U6" s="21">
        <f>$G6*2</f>
        <v>34000</v>
      </c>
      <c r="V6" s="21">
        <f>$G6*2</f>
        <v>34000</v>
      </c>
      <c r="W6" s="21">
        <f>$G6*2</f>
        <v>34000</v>
      </c>
      <c r="X6" s="21">
        <v>0</v>
      </c>
      <c r="Y6" s="21">
        <f>G6*4</f>
        <v>68000</v>
      </c>
      <c r="Z6" s="21">
        <f>$G6*2</f>
        <v>34000</v>
      </c>
      <c r="AA6" s="21">
        <f>$G6*2</f>
        <v>34000</v>
      </c>
      <c r="AB6" s="21">
        <f>$G6*2</f>
        <v>34000</v>
      </c>
      <c r="AC6" s="21">
        <f>$G6*2</f>
        <v>34000</v>
      </c>
      <c r="AD6" s="21">
        <f>$G6*2</f>
        <v>34000</v>
      </c>
      <c r="AE6" s="21">
        <v>0</v>
      </c>
      <c r="AF6" s="21">
        <f t="shared" ref="AF6:AF18" si="27">G6*5</f>
        <v>85000</v>
      </c>
      <c r="AG6" s="21">
        <f>$G6*2</f>
        <v>34000</v>
      </c>
      <c r="AH6" s="21">
        <f>$G6*2</f>
        <v>34000</v>
      </c>
      <c r="AI6" s="21">
        <f>$G6*2</f>
        <v>34000</v>
      </c>
      <c r="AJ6" s="21">
        <f>$G6*2</f>
        <v>34000</v>
      </c>
      <c r="AK6" s="21">
        <v>0</v>
      </c>
      <c r="AL6" s="21">
        <f t="shared" ref="AL6:AL18" si="28">G6*6</f>
        <v>102000</v>
      </c>
      <c r="AM6" s="21">
        <f>$G6*2</f>
        <v>34000</v>
      </c>
      <c r="AN6" s="21">
        <f>$G6*2</f>
        <v>34000</v>
      </c>
      <c r="AO6" s="21">
        <f>$G6*2</f>
        <v>34000</v>
      </c>
      <c r="AP6" s="21">
        <f>$G6*2</f>
        <v>34000</v>
      </c>
      <c r="AQ6" s="21">
        <v>0</v>
      </c>
      <c r="AR6" s="21">
        <f t="shared" ref="AR6:AR18" si="29">G6*7</f>
        <v>119000</v>
      </c>
      <c r="AS6" s="21">
        <f>$G6*2</f>
        <v>34000</v>
      </c>
      <c r="AT6" s="21">
        <f>$G6*2</f>
        <v>34000</v>
      </c>
      <c r="AU6" s="21">
        <f>$G6*2</f>
        <v>34000</v>
      </c>
      <c r="AV6" s="21">
        <f>$G6*2</f>
        <v>34000</v>
      </c>
      <c r="AW6" s="21">
        <v>0</v>
      </c>
      <c r="AX6" s="21">
        <f>$G6*8</f>
        <v>136000</v>
      </c>
      <c r="AY6" s="21">
        <f>$G6*2</f>
        <v>34000</v>
      </c>
      <c r="AZ6" s="21">
        <f>$G6*2</f>
        <v>34000</v>
      </c>
      <c r="BA6" s="21">
        <f>$G6*2</f>
        <v>34000</v>
      </c>
      <c r="BB6" s="21">
        <f>$G6*2</f>
        <v>34000</v>
      </c>
      <c r="BC6" s="21">
        <v>0</v>
      </c>
      <c r="BD6" s="21">
        <f>$G6*9</f>
        <v>153000</v>
      </c>
      <c r="BE6" s="21">
        <f>$G6*2</f>
        <v>34000</v>
      </c>
      <c r="BF6" s="21">
        <f>$G6*2</f>
        <v>34000</v>
      </c>
      <c r="BG6" s="21">
        <f>$G6*2</f>
        <v>34000</v>
      </c>
      <c r="BH6" s="21">
        <f>$G6*2</f>
        <v>34000</v>
      </c>
      <c r="BI6" s="21">
        <v>0</v>
      </c>
      <c r="BJ6" s="21">
        <f>$G6*10</f>
        <v>170000</v>
      </c>
      <c r="BK6" s="21">
        <v>0</v>
      </c>
      <c r="BL6" s="21">
        <f t="shared" si="16"/>
        <v>187000</v>
      </c>
      <c r="BM6" s="21">
        <v>0</v>
      </c>
      <c r="BN6" s="21">
        <f>$G6*12</f>
        <v>204000</v>
      </c>
      <c r="BO6" s="21">
        <v>0</v>
      </c>
      <c r="BP6" s="21">
        <f t="shared" si="19"/>
        <v>221000</v>
      </c>
      <c r="BQ6" s="21">
        <v>0</v>
      </c>
      <c r="BR6" s="21">
        <f t="shared" si="21"/>
        <v>238000</v>
      </c>
      <c r="BS6" s="21">
        <v>0</v>
      </c>
      <c r="BT6" s="21">
        <f t="shared" si="23"/>
        <v>255000</v>
      </c>
      <c r="BU6" s="21">
        <v>0</v>
      </c>
      <c r="BV6" s="21">
        <f t="shared" si="25"/>
        <v>272000</v>
      </c>
    </row>
    <row r="7" spans="1:76">
      <c r="A7" s="5" t="s">
        <v>124</v>
      </c>
      <c r="F7" s="21">
        <v>0</v>
      </c>
      <c r="G7" s="21">
        <v>19450</v>
      </c>
      <c r="L7" s="21">
        <f t="shared" ref="L7" si="30">F7*2</f>
        <v>0</v>
      </c>
      <c r="M7" s="21">
        <f t="shared" ref="M7:M11" si="31">$G7*2</f>
        <v>38900</v>
      </c>
      <c r="R7" s="21">
        <f t="shared" ref="R7" si="32">F7*3</f>
        <v>0</v>
      </c>
      <c r="S7" s="21">
        <f t="shared" ref="S7" si="33">G7*3</f>
        <v>58350</v>
      </c>
      <c r="X7" s="21">
        <f t="shared" ref="X7" si="34">F7*4</f>
        <v>0</v>
      </c>
      <c r="Y7" s="21">
        <f>G7*4</f>
        <v>77800</v>
      </c>
      <c r="AE7" s="21">
        <f t="shared" ref="AE7" si="35">F7*6</f>
        <v>0</v>
      </c>
      <c r="AF7" s="21">
        <f t="shared" ref="AF7" si="36">G7*5</f>
        <v>97250</v>
      </c>
      <c r="AK7" s="21">
        <f t="shared" ref="AK7" si="37">F7*7</f>
        <v>0</v>
      </c>
      <c r="AL7" s="21">
        <f t="shared" ref="AL7" si="38">G7*6</f>
        <v>116700</v>
      </c>
      <c r="AQ7" s="21">
        <f t="shared" ref="AQ7" si="39">F7*8</f>
        <v>0</v>
      </c>
      <c r="AR7" s="21">
        <f>G7*7</f>
        <v>136150</v>
      </c>
      <c r="AW7" s="21">
        <f t="shared" ref="AW7" si="40">F7*9</f>
        <v>0</v>
      </c>
      <c r="AX7" s="21">
        <f>$G7*8</f>
        <v>155600</v>
      </c>
      <c r="BC7" s="21">
        <f t="shared" ref="BC7" si="41">F7*11</f>
        <v>0</v>
      </c>
      <c r="BD7" s="21">
        <f t="shared" si="12"/>
        <v>175050</v>
      </c>
      <c r="BI7" s="21">
        <f t="shared" ref="BI7" si="42">F7*12</f>
        <v>0</v>
      </c>
      <c r="BJ7" s="21">
        <f t="shared" si="14"/>
        <v>194500</v>
      </c>
      <c r="BK7" s="21">
        <f t="shared" ref="BK7" si="43">F7*13</f>
        <v>0</v>
      </c>
      <c r="BL7" s="21">
        <f t="shared" si="16"/>
        <v>213950</v>
      </c>
      <c r="BM7" s="21">
        <f t="shared" ref="BM7" si="44">F7*14</f>
        <v>0</v>
      </c>
      <c r="BN7" s="21">
        <f>$G7*12</f>
        <v>233400</v>
      </c>
      <c r="BO7" s="21">
        <f t="shared" ref="BO7" si="45">F7*16</f>
        <v>0</v>
      </c>
      <c r="BP7" s="21">
        <f t="shared" si="19"/>
        <v>252850</v>
      </c>
      <c r="BQ7" s="21">
        <f t="shared" ref="BQ7" si="46">F7*17</f>
        <v>0</v>
      </c>
      <c r="BR7" s="21">
        <f t="shared" si="21"/>
        <v>272300</v>
      </c>
      <c r="BS7" s="21">
        <f t="shared" ref="BS7" si="47">F7*18</f>
        <v>0</v>
      </c>
      <c r="BT7" s="21">
        <f t="shared" si="23"/>
        <v>291750</v>
      </c>
      <c r="BU7" s="21">
        <f t="shared" ref="BU7" si="48">F7*19</f>
        <v>0</v>
      </c>
      <c r="BV7" s="21">
        <f t="shared" si="25"/>
        <v>311200</v>
      </c>
    </row>
    <row r="8" spans="1:76">
      <c r="A8" s="5" t="s">
        <v>30</v>
      </c>
      <c r="B8" s="8">
        <v>0</v>
      </c>
      <c r="C8" s="8">
        <v>0</v>
      </c>
      <c r="D8" s="8">
        <v>0</v>
      </c>
      <c r="E8" s="8">
        <v>0</v>
      </c>
      <c r="F8" s="21">
        <v>0</v>
      </c>
      <c r="G8" s="21">
        <v>22000</v>
      </c>
      <c r="H8" s="21">
        <v>22000</v>
      </c>
      <c r="I8" s="21">
        <v>22000</v>
      </c>
      <c r="J8" s="21">
        <v>22000</v>
      </c>
      <c r="K8" s="21">
        <v>22000</v>
      </c>
      <c r="L8" s="21">
        <v>0</v>
      </c>
      <c r="M8" s="21">
        <f t="shared" si="31"/>
        <v>44000</v>
      </c>
      <c r="N8" s="21">
        <f t="shared" ref="N8:Q14" si="49">H8*2</f>
        <v>44000</v>
      </c>
      <c r="O8" s="21">
        <f t="shared" si="49"/>
        <v>44000</v>
      </c>
      <c r="P8" s="21">
        <f t="shared" si="49"/>
        <v>44000</v>
      </c>
      <c r="Q8" s="21">
        <f t="shared" si="49"/>
        <v>44000</v>
      </c>
      <c r="R8" s="21">
        <v>0</v>
      </c>
      <c r="S8" s="21">
        <f t="shared" si="26"/>
        <v>66000</v>
      </c>
      <c r="T8" s="21">
        <f t="shared" ref="T8:W13" si="50">N8*2</f>
        <v>88000</v>
      </c>
      <c r="U8" s="21">
        <f t="shared" si="50"/>
        <v>88000</v>
      </c>
      <c r="V8" s="21">
        <f t="shared" si="50"/>
        <v>88000</v>
      </c>
      <c r="W8" s="21">
        <f t="shared" si="50"/>
        <v>88000</v>
      </c>
      <c r="X8" s="21">
        <v>0</v>
      </c>
      <c r="Y8" s="21">
        <f t="shared" ref="Y8:Y11" si="51">G8*4</f>
        <v>88000</v>
      </c>
      <c r="Z8" s="21">
        <f t="shared" ref="Z8:AC13" si="52">T8*2</f>
        <v>176000</v>
      </c>
      <c r="AA8" s="21">
        <f t="shared" si="52"/>
        <v>176000</v>
      </c>
      <c r="AB8" s="21">
        <f t="shared" si="52"/>
        <v>176000</v>
      </c>
      <c r="AC8" s="21">
        <f t="shared" si="52"/>
        <v>176000</v>
      </c>
      <c r="AD8" s="21">
        <f t="shared" ref="AD8:AD9" si="53">Y8*2</f>
        <v>176000</v>
      </c>
      <c r="AE8" s="21">
        <v>0</v>
      </c>
      <c r="AF8" s="21">
        <f t="shared" si="27"/>
        <v>110000</v>
      </c>
      <c r="AG8" s="21">
        <f t="shared" ref="AG8:AJ13" si="54">AA8*2</f>
        <v>352000</v>
      </c>
      <c r="AH8" s="21">
        <f t="shared" si="54"/>
        <v>352000</v>
      </c>
      <c r="AI8" s="21">
        <f t="shared" si="54"/>
        <v>352000</v>
      </c>
      <c r="AJ8" s="21">
        <f t="shared" si="54"/>
        <v>352000</v>
      </c>
      <c r="AK8" s="21">
        <v>0</v>
      </c>
      <c r="AL8" s="21">
        <f t="shared" si="28"/>
        <v>132000</v>
      </c>
      <c r="AM8" s="21">
        <f t="shared" ref="AM8:AP13" si="55">AG8*2</f>
        <v>704000</v>
      </c>
      <c r="AN8" s="21">
        <f t="shared" si="55"/>
        <v>704000</v>
      </c>
      <c r="AO8" s="21">
        <f t="shared" si="55"/>
        <v>704000</v>
      </c>
      <c r="AP8" s="21">
        <f t="shared" si="55"/>
        <v>704000</v>
      </c>
      <c r="AQ8" s="21">
        <v>0</v>
      </c>
      <c r="AR8" s="21">
        <f t="shared" si="29"/>
        <v>154000</v>
      </c>
      <c r="AS8" s="21">
        <f t="shared" ref="AS8:AV13" si="56">AM8*2</f>
        <v>1408000</v>
      </c>
      <c r="AT8" s="21">
        <f t="shared" si="56"/>
        <v>1408000</v>
      </c>
      <c r="AU8" s="21">
        <f t="shared" si="56"/>
        <v>1408000</v>
      </c>
      <c r="AV8" s="21">
        <f t="shared" si="56"/>
        <v>1408000</v>
      </c>
      <c r="AW8" s="21">
        <v>0</v>
      </c>
      <c r="AX8" s="21">
        <f t="shared" ref="AX8:AX12" si="57">$G8*8</f>
        <v>176000</v>
      </c>
      <c r="AY8" s="21">
        <f t="shared" ref="AY8:BB13" si="58">AS8*2</f>
        <v>2816000</v>
      </c>
      <c r="AZ8" s="21">
        <f t="shared" si="58"/>
        <v>2816000</v>
      </c>
      <c r="BA8" s="21">
        <f t="shared" si="58"/>
        <v>2816000</v>
      </c>
      <c r="BB8" s="21">
        <f t="shared" si="58"/>
        <v>2816000</v>
      </c>
      <c r="BC8" s="21">
        <v>0</v>
      </c>
      <c r="BD8" s="21">
        <f t="shared" si="12"/>
        <v>198000</v>
      </c>
      <c r="BE8" s="21">
        <f t="shared" ref="BE8:BH13" si="59">AY8*2</f>
        <v>5632000</v>
      </c>
      <c r="BF8" s="21">
        <f t="shared" si="59"/>
        <v>5632000</v>
      </c>
      <c r="BG8" s="21">
        <f t="shared" si="59"/>
        <v>5632000</v>
      </c>
      <c r="BH8" s="21">
        <f t="shared" si="59"/>
        <v>5632000</v>
      </c>
      <c r="BI8" s="21">
        <v>0</v>
      </c>
      <c r="BJ8" s="21">
        <f t="shared" si="14"/>
        <v>220000</v>
      </c>
      <c r="BK8" s="21">
        <v>0</v>
      </c>
      <c r="BL8" s="21">
        <f t="shared" si="16"/>
        <v>242000</v>
      </c>
      <c r="BM8" s="21">
        <v>0</v>
      </c>
      <c r="BN8" s="21">
        <f>$G8*12</f>
        <v>264000</v>
      </c>
      <c r="BO8" s="21">
        <v>0</v>
      </c>
      <c r="BP8" s="21">
        <f t="shared" si="19"/>
        <v>286000</v>
      </c>
      <c r="BQ8" s="21">
        <v>0</v>
      </c>
      <c r="BR8" s="21">
        <f t="shared" si="21"/>
        <v>308000</v>
      </c>
      <c r="BS8" s="21">
        <v>0</v>
      </c>
      <c r="BT8" s="21">
        <f t="shared" si="23"/>
        <v>330000</v>
      </c>
      <c r="BU8" s="21">
        <v>0</v>
      </c>
      <c r="BV8" s="21">
        <f t="shared" si="25"/>
        <v>352000</v>
      </c>
    </row>
    <row r="9" spans="1:76">
      <c r="A9" s="5" t="s">
        <v>33</v>
      </c>
      <c r="B9" s="8">
        <v>0</v>
      </c>
      <c r="C9" s="8">
        <v>0</v>
      </c>
      <c r="D9" s="8">
        <v>0</v>
      </c>
      <c r="E9" s="8">
        <v>0</v>
      </c>
      <c r="F9" s="21">
        <v>0</v>
      </c>
      <c r="G9" s="21">
        <v>11000</v>
      </c>
      <c r="H9" s="21">
        <v>11000</v>
      </c>
      <c r="I9" s="21">
        <v>11000</v>
      </c>
      <c r="J9" s="21">
        <v>11000</v>
      </c>
      <c r="K9" s="21">
        <v>11000</v>
      </c>
      <c r="L9" s="21">
        <v>0</v>
      </c>
      <c r="M9" s="21">
        <f t="shared" si="31"/>
        <v>22000</v>
      </c>
      <c r="N9" s="21">
        <f t="shared" si="49"/>
        <v>22000</v>
      </c>
      <c r="O9" s="21">
        <f t="shared" si="49"/>
        <v>22000</v>
      </c>
      <c r="P9" s="21">
        <f t="shared" si="49"/>
        <v>22000</v>
      </c>
      <c r="Q9" s="21">
        <f t="shared" si="49"/>
        <v>22000</v>
      </c>
      <c r="R9" s="21">
        <v>0</v>
      </c>
      <c r="S9" s="21">
        <f t="shared" si="26"/>
        <v>33000</v>
      </c>
      <c r="T9" s="21">
        <f t="shared" si="50"/>
        <v>44000</v>
      </c>
      <c r="U9" s="21">
        <f t="shared" si="50"/>
        <v>44000</v>
      </c>
      <c r="V9" s="21">
        <f t="shared" si="50"/>
        <v>44000</v>
      </c>
      <c r="W9" s="21">
        <f t="shared" si="50"/>
        <v>44000</v>
      </c>
      <c r="X9" s="21">
        <v>0</v>
      </c>
      <c r="Y9" s="21">
        <f t="shared" si="51"/>
        <v>44000</v>
      </c>
      <c r="Z9" s="21">
        <f t="shared" si="52"/>
        <v>88000</v>
      </c>
      <c r="AA9" s="21">
        <f t="shared" si="52"/>
        <v>88000</v>
      </c>
      <c r="AB9" s="21">
        <f t="shared" si="52"/>
        <v>88000</v>
      </c>
      <c r="AC9" s="21">
        <f t="shared" si="52"/>
        <v>88000</v>
      </c>
      <c r="AD9" s="21">
        <f t="shared" si="53"/>
        <v>88000</v>
      </c>
      <c r="AE9" s="21">
        <v>0</v>
      </c>
      <c r="AF9" s="21">
        <f t="shared" si="27"/>
        <v>55000</v>
      </c>
      <c r="AG9" s="21">
        <f t="shared" si="54"/>
        <v>176000</v>
      </c>
      <c r="AH9" s="21">
        <f t="shared" si="54"/>
        <v>176000</v>
      </c>
      <c r="AI9" s="21">
        <f t="shared" si="54"/>
        <v>176000</v>
      </c>
      <c r="AJ9" s="21">
        <f t="shared" si="54"/>
        <v>176000</v>
      </c>
      <c r="AK9" s="21">
        <v>0</v>
      </c>
      <c r="AL9" s="21">
        <f t="shared" si="28"/>
        <v>66000</v>
      </c>
      <c r="AM9" s="21">
        <f t="shared" si="55"/>
        <v>352000</v>
      </c>
      <c r="AN9" s="21">
        <f t="shared" si="55"/>
        <v>352000</v>
      </c>
      <c r="AO9" s="21">
        <f t="shared" si="55"/>
        <v>352000</v>
      </c>
      <c r="AP9" s="21">
        <f t="shared" si="55"/>
        <v>352000</v>
      </c>
      <c r="AQ9" s="21">
        <v>0</v>
      </c>
      <c r="AR9" s="21">
        <f t="shared" si="29"/>
        <v>77000</v>
      </c>
      <c r="AS9" s="21">
        <f t="shared" si="56"/>
        <v>704000</v>
      </c>
      <c r="AT9" s="21">
        <f t="shared" si="56"/>
        <v>704000</v>
      </c>
      <c r="AU9" s="21">
        <f t="shared" si="56"/>
        <v>704000</v>
      </c>
      <c r="AV9" s="21">
        <f t="shared" si="56"/>
        <v>704000</v>
      </c>
      <c r="AW9" s="21">
        <v>0</v>
      </c>
      <c r="AX9" s="21">
        <f t="shared" si="57"/>
        <v>88000</v>
      </c>
      <c r="AY9" s="21">
        <f t="shared" si="58"/>
        <v>1408000</v>
      </c>
      <c r="AZ9" s="21">
        <f t="shared" si="58"/>
        <v>1408000</v>
      </c>
      <c r="BA9" s="21">
        <f t="shared" si="58"/>
        <v>1408000</v>
      </c>
      <c r="BB9" s="21">
        <f t="shared" si="58"/>
        <v>1408000</v>
      </c>
      <c r="BC9" s="21">
        <v>0</v>
      </c>
      <c r="BD9" s="21">
        <f t="shared" si="12"/>
        <v>99000</v>
      </c>
      <c r="BE9" s="21">
        <f t="shared" si="59"/>
        <v>2816000</v>
      </c>
      <c r="BF9" s="21">
        <f t="shared" si="59"/>
        <v>2816000</v>
      </c>
      <c r="BG9" s="21">
        <f t="shared" si="59"/>
        <v>2816000</v>
      </c>
      <c r="BH9" s="21">
        <f t="shared" si="59"/>
        <v>2816000</v>
      </c>
      <c r="BI9" s="21">
        <v>0</v>
      </c>
      <c r="BJ9" s="21">
        <f t="shared" si="14"/>
        <v>110000</v>
      </c>
      <c r="BK9" s="21">
        <v>0</v>
      </c>
      <c r="BL9" s="21">
        <f t="shared" si="16"/>
        <v>121000</v>
      </c>
      <c r="BM9" s="21">
        <v>0</v>
      </c>
      <c r="BN9" s="21">
        <f t="shared" ref="BN9:BN12" si="60">$G9*12</f>
        <v>132000</v>
      </c>
      <c r="BO9" s="21">
        <v>0</v>
      </c>
      <c r="BP9" s="21">
        <f t="shared" si="19"/>
        <v>143000</v>
      </c>
      <c r="BQ9" s="21">
        <v>0</v>
      </c>
      <c r="BR9" s="21">
        <f t="shared" si="21"/>
        <v>154000</v>
      </c>
      <c r="BS9" s="21">
        <v>0</v>
      </c>
      <c r="BT9" s="21">
        <f t="shared" si="23"/>
        <v>165000</v>
      </c>
      <c r="BU9" s="21">
        <v>0</v>
      </c>
      <c r="BV9" s="21">
        <f t="shared" si="25"/>
        <v>176000</v>
      </c>
    </row>
    <row r="10" spans="1:76">
      <c r="A10" s="5" t="s">
        <v>125</v>
      </c>
      <c r="F10" s="21">
        <v>0</v>
      </c>
      <c r="G10" s="21">
        <v>11650</v>
      </c>
      <c r="L10" s="21">
        <f t="shared" ref="L10" si="61">F10*2</f>
        <v>0</v>
      </c>
      <c r="M10" s="21">
        <f t="shared" si="31"/>
        <v>23300</v>
      </c>
      <c r="R10" s="21">
        <f t="shared" ref="R10" si="62">F10*3</f>
        <v>0</v>
      </c>
      <c r="S10" s="21">
        <f t="shared" ref="S10" si="63">G10*3</f>
        <v>34950</v>
      </c>
      <c r="X10" s="21">
        <f t="shared" ref="X10" si="64">F10*4</f>
        <v>0</v>
      </c>
      <c r="Y10" s="21">
        <f>G10*4</f>
        <v>46600</v>
      </c>
      <c r="AE10" s="21">
        <f t="shared" ref="AE10" si="65">F10*6</f>
        <v>0</v>
      </c>
      <c r="AF10" s="21">
        <f t="shared" ref="AF10" si="66">G10*5</f>
        <v>58250</v>
      </c>
      <c r="AK10" s="21">
        <f t="shared" ref="AK10" si="67">F10*7</f>
        <v>0</v>
      </c>
      <c r="AL10" s="21">
        <f t="shared" ref="AL10" si="68">G10*6</f>
        <v>69900</v>
      </c>
      <c r="AQ10" s="21">
        <f t="shared" ref="AQ10" si="69">F10*8</f>
        <v>0</v>
      </c>
      <c r="AR10" s="21">
        <f t="shared" ref="AR10" si="70">G10*7</f>
        <v>81550</v>
      </c>
      <c r="AW10" s="21">
        <f t="shared" ref="AW10" si="71">F10*9</f>
        <v>0</v>
      </c>
      <c r="AX10" s="21">
        <f>$G10*8</f>
        <v>93200</v>
      </c>
      <c r="BC10" s="21">
        <f t="shared" ref="BC10" si="72">F10*11</f>
        <v>0</v>
      </c>
      <c r="BD10" s="21">
        <f t="shared" si="12"/>
        <v>104850</v>
      </c>
      <c r="BI10" s="21">
        <f t="shared" ref="BI10" si="73">F10*12</f>
        <v>0</v>
      </c>
      <c r="BJ10" s="21">
        <f t="shared" si="14"/>
        <v>116500</v>
      </c>
      <c r="BK10" s="21">
        <f t="shared" ref="BK10" si="74">F10*13</f>
        <v>0</v>
      </c>
      <c r="BL10" s="21">
        <f t="shared" si="16"/>
        <v>128150</v>
      </c>
      <c r="BM10" s="21">
        <f t="shared" ref="BM10" si="75">F10*14</f>
        <v>0</v>
      </c>
      <c r="BN10" s="21">
        <f>$G10*12</f>
        <v>139800</v>
      </c>
      <c r="BO10" s="21">
        <f t="shared" ref="BO10" si="76">F10*16</f>
        <v>0</v>
      </c>
      <c r="BP10" s="21">
        <f t="shared" si="19"/>
        <v>151450</v>
      </c>
      <c r="BQ10" s="21">
        <f t="shared" ref="BQ10" si="77">F10*17</f>
        <v>0</v>
      </c>
      <c r="BR10" s="21">
        <f t="shared" si="21"/>
        <v>163100</v>
      </c>
      <c r="BS10" s="21">
        <f t="shared" ref="BS10" si="78">F10*18</f>
        <v>0</v>
      </c>
      <c r="BT10" s="21">
        <f t="shared" si="23"/>
        <v>174750</v>
      </c>
      <c r="BU10" s="21">
        <f t="shared" ref="BU10" si="79">F10*19</f>
        <v>0</v>
      </c>
      <c r="BV10" s="21">
        <f t="shared" si="25"/>
        <v>186400</v>
      </c>
    </row>
    <row r="11" spans="1:76">
      <c r="A11" s="5" t="s">
        <v>32</v>
      </c>
      <c r="B11" s="8">
        <v>0</v>
      </c>
      <c r="C11" s="8">
        <v>0</v>
      </c>
      <c r="D11" s="8">
        <v>0</v>
      </c>
      <c r="E11" s="8">
        <v>0</v>
      </c>
      <c r="F11" s="21">
        <v>0</v>
      </c>
      <c r="G11" s="21">
        <v>16000</v>
      </c>
      <c r="H11" s="21">
        <v>11000</v>
      </c>
      <c r="I11" s="21">
        <v>11000</v>
      </c>
      <c r="J11" s="21">
        <v>11000</v>
      </c>
      <c r="K11" s="21">
        <v>11000</v>
      </c>
      <c r="L11" s="21">
        <v>0</v>
      </c>
      <c r="M11" s="21">
        <f t="shared" si="31"/>
        <v>32000</v>
      </c>
      <c r="N11" s="21">
        <f t="shared" si="49"/>
        <v>22000</v>
      </c>
      <c r="O11" s="21">
        <f t="shared" si="49"/>
        <v>22000</v>
      </c>
      <c r="P11" s="21">
        <f t="shared" si="49"/>
        <v>22000</v>
      </c>
      <c r="Q11" s="21">
        <f t="shared" si="49"/>
        <v>22000</v>
      </c>
      <c r="R11" s="21">
        <v>0</v>
      </c>
      <c r="S11" s="21">
        <f t="shared" si="26"/>
        <v>48000</v>
      </c>
      <c r="T11" s="21">
        <f t="shared" si="50"/>
        <v>44000</v>
      </c>
      <c r="U11" s="21">
        <f t="shared" si="50"/>
        <v>44000</v>
      </c>
      <c r="V11" s="21">
        <f t="shared" si="50"/>
        <v>44000</v>
      </c>
      <c r="W11" s="21">
        <f t="shared" si="50"/>
        <v>44000</v>
      </c>
      <c r="X11" s="21">
        <v>0</v>
      </c>
      <c r="Y11" s="21">
        <f t="shared" si="51"/>
        <v>64000</v>
      </c>
      <c r="Z11" s="21">
        <f t="shared" si="52"/>
        <v>88000</v>
      </c>
      <c r="AA11" s="21">
        <f t="shared" si="52"/>
        <v>88000</v>
      </c>
      <c r="AB11" s="21">
        <f t="shared" si="52"/>
        <v>88000</v>
      </c>
      <c r="AC11" s="21">
        <f t="shared" si="52"/>
        <v>88000</v>
      </c>
      <c r="AD11" s="21">
        <f t="shared" ref="AD11:AD13" si="80">Y11*2</f>
        <v>128000</v>
      </c>
      <c r="AE11" s="21">
        <v>0</v>
      </c>
      <c r="AF11" s="21">
        <f t="shared" si="27"/>
        <v>80000</v>
      </c>
      <c r="AG11" s="21">
        <f t="shared" si="54"/>
        <v>176000</v>
      </c>
      <c r="AH11" s="21">
        <f t="shared" si="54"/>
        <v>176000</v>
      </c>
      <c r="AI11" s="21">
        <f t="shared" si="54"/>
        <v>176000</v>
      </c>
      <c r="AJ11" s="21">
        <f t="shared" si="54"/>
        <v>256000</v>
      </c>
      <c r="AK11" s="21">
        <v>0</v>
      </c>
      <c r="AL11" s="21">
        <f t="shared" si="28"/>
        <v>96000</v>
      </c>
      <c r="AM11" s="21">
        <f t="shared" si="55"/>
        <v>352000</v>
      </c>
      <c r="AN11" s="21">
        <f t="shared" si="55"/>
        <v>352000</v>
      </c>
      <c r="AO11" s="21">
        <f t="shared" si="55"/>
        <v>352000</v>
      </c>
      <c r="AP11" s="21">
        <f t="shared" si="55"/>
        <v>512000</v>
      </c>
      <c r="AQ11" s="21">
        <v>0</v>
      </c>
      <c r="AR11" s="21">
        <f t="shared" si="29"/>
        <v>112000</v>
      </c>
      <c r="AS11" s="21">
        <f t="shared" si="56"/>
        <v>704000</v>
      </c>
      <c r="AT11" s="21">
        <f t="shared" si="56"/>
        <v>704000</v>
      </c>
      <c r="AU11" s="21">
        <f t="shared" si="56"/>
        <v>704000</v>
      </c>
      <c r="AV11" s="21">
        <f t="shared" si="56"/>
        <v>1024000</v>
      </c>
      <c r="AW11" s="21">
        <v>0</v>
      </c>
      <c r="AX11" s="21">
        <f t="shared" si="57"/>
        <v>128000</v>
      </c>
      <c r="AY11" s="21">
        <f t="shared" si="58"/>
        <v>1408000</v>
      </c>
      <c r="AZ11" s="21">
        <f t="shared" si="58"/>
        <v>1408000</v>
      </c>
      <c r="BA11" s="21">
        <f t="shared" si="58"/>
        <v>1408000</v>
      </c>
      <c r="BB11" s="21">
        <f t="shared" si="58"/>
        <v>2048000</v>
      </c>
      <c r="BC11" s="21">
        <v>0</v>
      </c>
      <c r="BD11" s="21">
        <f t="shared" si="12"/>
        <v>144000</v>
      </c>
      <c r="BE11" s="21">
        <f t="shared" si="59"/>
        <v>2816000</v>
      </c>
      <c r="BF11" s="21">
        <f t="shared" si="59"/>
        <v>2816000</v>
      </c>
      <c r="BG11" s="21">
        <f t="shared" si="59"/>
        <v>2816000</v>
      </c>
      <c r="BH11" s="21">
        <f t="shared" si="59"/>
        <v>4096000</v>
      </c>
      <c r="BI11" s="21">
        <v>0</v>
      </c>
      <c r="BJ11" s="21">
        <f t="shared" si="14"/>
        <v>160000</v>
      </c>
      <c r="BK11" s="21">
        <v>0</v>
      </c>
      <c r="BL11" s="21">
        <f t="shared" si="16"/>
        <v>176000</v>
      </c>
      <c r="BM11" s="21">
        <v>0</v>
      </c>
      <c r="BN11" s="21">
        <f t="shared" si="60"/>
        <v>192000</v>
      </c>
      <c r="BO11" s="21">
        <v>0</v>
      </c>
      <c r="BP11" s="21">
        <f t="shared" si="19"/>
        <v>208000</v>
      </c>
      <c r="BQ11" s="21">
        <v>0</v>
      </c>
      <c r="BR11" s="21">
        <f t="shared" si="21"/>
        <v>224000</v>
      </c>
      <c r="BS11" s="21">
        <v>0</v>
      </c>
      <c r="BT11" s="21">
        <f t="shared" si="23"/>
        <v>240000</v>
      </c>
      <c r="BU11" s="21">
        <v>0</v>
      </c>
      <c r="BV11" s="21">
        <f t="shared" si="25"/>
        <v>256000</v>
      </c>
    </row>
    <row r="12" spans="1:76">
      <c r="A12" s="5" t="s">
        <v>31</v>
      </c>
      <c r="B12" s="8">
        <v>0</v>
      </c>
      <c r="C12" s="8">
        <v>0</v>
      </c>
      <c r="D12" s="8">
        <v>0</v>
      </c>
      <c r="E12" s="8">
        <v>0</v>
      </c>
      <c r="F12" s="21">
        <v>0</v>
      </c>
      <c r="G12" s="21">
        <v>13000</v>
      </c>
      <c r="H12" s="21">
        <v>11000</v>
      </c>
      <c r="I12" s="21">
        <v>11000</v>
      </c>
      <c r="J12" s="21">
        <v>11000</v>
      </c>
      <c r="K12" s="21">
        <v>11000</v>
      </c>
      <c r="L12" s="21">
        <v>0</v>
      </c>
      <c r="M12" s="21">
        <f>$G12*2</f>
        <v>26000</v>
      </c>
      <c r="N12" s="21">
        <f t="shared" si="49"/>
        <v>22000</v>
      </c>
      <c r="O12" s="21">
        <f t="shared" si="49"/>
        <v>22000</v>
      </c>
      <c r="P12" s="21">
        <f t="shared" si="49"/>
        <v>22000</v>
      </c>
      <c r="Q12" s="21">
        <f t="shared" si="49"/>
        <v>22000</v>
      </c>
      <c r="R12" s="21">
        <v>0</v>
      </c>
      <c r="S12" s="21">
        <f t="shared" si="26"/>
        <v>39000</v>
      </c>
      <c r="T12" s="21">
        <f t="shared" si="50"/>
        <v>44000</v>
      </c>
      <c r="U12" s="21">
        <f t="shared" si="50"/>
        <v>44000</v>
      </c>
      <c r="V12" s="21">
        <f t="shared" si="50"/>
        <v>44000</v>
      </c>
      <c r="W12" s="21">
        <f t="shared" si="50"/>
        <v>44000</v>
      </c>
      <c r="X12" s="21">
        <v>0</v>
      </c>
      <c r="Y12" s="21">
        <f>G12*4</f>
        <v>52000</v>
      </c>
      <c r="Z12" s="21">
        <f t="shared" si="52"/>
        <v>88000</v>
      </c>
      <c r="AA12" s="21">
        <f t="shared" si="52"/>
        <v>88000</v>
      </c>
      <c r="AB12" s="21">
        <f t="shared" si="52"/>
        <v>88000</v>
      </c>
      <c r="AC12" s="21">
        <f t="shared" si="52"/>
        <v>88000</v>
      </c>
      <c r="AD12" s="21">
        <f t="shared" si="80"/>
        <v>104000</v>
      </c>
      <c r="AE12" s="21">
        <v>0</v>
      </c>
      <c r="AF12" s="21">
        <f t="shared" si="27"/>
        <v>65000</v>
      </c>
      <c r="AG12" s="21">
        <f t="shared" si="54"/>
        <v>176000</v>
      </c>
      <c r="AH12" s="21">
        <f t="shared" si="54"/>
        <v>176000</v>
      </c>
      <c r="AI12" s="21">
        <f t="shared" si="54"/>
        <v>176000</v>
      </c>
      <c r="AJ12" s="21">
        <f t="shared" si="54"/>
        <v>208000</v>
      </c>
      <c r="AK12" s="21">
        <v>0</v>
      </c>
      <c r="AL12" s="21">
        <f t="shared" si="28"/>
        <v>78000</v>
      </c>
      <c r="AM12" s="21">
        <f t="shared" si="55"/>
        <v>352000</v>
      </c>
      <c r="AN12" s="21">
        <f t="shared" si="55"/>
        <v>352000</v>
      </c>
      <c r="AO12" s="21">
        <f t="shared" si="55"/>
        <v>352000</v>
      </c>
      <c r="AP12" s="21">
        <f t="shared" si="55"/>
        <v>416000</v>
      </c>
      <c r="AQ12" s="21">
        <v>0</v>
      </c>
      <c r="AR12" s="21">
        <f t="shared" si="29"/>
        <v>91000</v>
      </c>
      <c r="AS12" s="21">
        <f t="shared" si="56"/>
        <v>704000</v>
      </c>
      <c r="AT12" s="21">
        <f t="shared" si="56"/>
        <v>704000</v>
      </c>
      <c r="AU12" s="21">
        <f t="shared" si="56"/>
        <v>704000</v>
      </c>
      <c r="AV12" s="21">
        <f t="shared" si="56"/>
        <v>832000</v>
      </c>
      <c r="AW12" s="21">
        <v>0</v>
      </c>
      <c r="AX12" s="21">
        <f t="shared" si="57"/>
        <v>104000</v>
      </c>
      <c r="AY12" s="21">
        <f t="shared" si="58"/>
        <v>1408000</v>
      </c>
      <c r="AZ12" s="21">
        <f t="shared" si="58"/>
        <v>1408000</v>
      </c>
      <c r="BA12" s="21">
        <f t="shared" si="58"/>
        <v>1408000</v>
      </c>
      <c r="BB12" s="21">
        <f t="shared" si="58"/>
        <v>1664000</v>
      </c>
      <c r="BC12" s="21">
        <v>0</v>
      </c>
      <c r="BD12" s="21">
        <f t="shared" si="12"/>
        <v>117000</v>
      </c>
      <c r="BE12" s="21">
        <f t="shared" si="59"/>
        <v>2816000</v>
      </c>
      <c r="BF12" s="21">
        <f t="shared" si="59"/>
        <v>2816000</v>
      </c>
      <c r="BG12" s="21">
        <f t="shared" si="59"/>
        <v>2816000</v>
      </c>
      <c r="BH12" s="21">
        <f t="shared" si="59"/>
        <v>3328000</v>
      </c>
      <c r="BI12" s="21">
        <v>0</v>
      </c>
      <c r="BJ12" s="21">
        <f t="shared" si="14"/>
        <v>130000</v>
      </c>
      <c r="BK12" s="21">
        <v>0</v>
      </c>
      <c r="BL12" s="21">
        <f t="shared" si="16"/>
        <v>143000</v>
      </c>
      <c r="BM12" s="21">
        <v>0</v>
      </c>
      <c r="BN12" s="21">
        <f t="shared" si="60"/>
        <v>156000</v>
      </c>
      <c r="BO12" s="21">
        <v>0</v>
      </c>
      <c r="BP12" s="21">
        <f t="shared" si="19"/>
        <v>169000</v>
      </c>
      <c r="BQ12" s="21">
        <v>0</v>
      </c>
      <c r="BR12" s="21">
        <f t="shared" si="21"/>
        <v>182000</v>
      </c>
      <c r="BS12" s="21">
        <v>0</v>
      </c>
      <c r="BT12" s="21">
        <f t="shared" si="23"/>
        <v>195000</v>
      </c>
      <c r="BU12" s="21">
        <v>0</v>
      </c>
      <c r="BV12" s="21">
        <f t="shared" si="25"/>
        <v>208000</v>
      </c>
    </row>
    <row r="13" spans="1:76">
      <c r="A13" s="5" t="s">
        <v>120</v>
      </c>
      <c r="B13" s="8">
        <v>0</v>
      </c>
      <c r="C13" s="8">
        <v>0</v>
      </c>
      <c r="D13" s="8">
        <v>0</v>
      </c>
      <c r="E13" s="8">
        <v>0</v>
      </c>
      <c r="F13" s="21">
        <v>22000</v>
      </c>
      <c r="G13" s="21">
        <v>0</v>
      </c>
      <c r="H13" s="21">
        <v>16000</v>
      </c>
      <c r="I13" s="21">
        <v>16000</v>
      </c>
      <c r="J13" s="21">
        <v>16000</v>
      </c>
      <c r="K13" s="21">
        <v>16000</v>
      </c>
      <c r="L13" s="21">
        <f>F13*2</f>
        <v>44000</v>
      </c>
      <c r="M13" s="21">
        <v>0</v>
      </c>
      <c r="N13" s="21">
        <f t="shared" si="49"/>
        <v>32000</v>
      </c>
      <c r="O13" s="21">
        <f t="shared" si="49"/>
        <v>32000</v>
      </c>
      <c r="P13" s="21">
        <f t="shared" si="49"/>
        <v>32000</v>
      </c>
      <c r="Q13" s="21">
        <f t="shared" si="49"/>
        <v>32000</v>
      </c>
      <c r="R13" s="21">
        <f>F13*3</f>
        <v>66000</v>
      </c>
      <c r="S13" s="21">
        <f t="shared" si="26"/>
        <v>0</v>
      </c>
      <c r="T13" s="21">
        <f t="shared" si="50"/>
        <v>64000</v>
      </c>
      <c r="U13" s="21">
        <f t="shared" si="50"/>
        <v>64000</v>
      </c>
      <c r="V13" s="21">
        <f t="shared" si="50"/>
        <v>64000</v>
      </c>
      <c r="W13" s="21">
        <f t="shared" si="50"/>
        <v>64000</v>
      </c>
      <c r="X13" s="21">
        <f>F13*4</f>
        <v>88000</v>
      </c>
      <c r="Y13" s="21">
        <f>F13*5</f>
        <v>110000</v>
      </c>
      <c r="Z13" s="21">
        <f t="shared" si="52"/>
        <v>128000</v>
      </c>
      <c r="AA13" s="21">
        <f t="shared" si="52"/>
        <v>128000</v>
      </c>
      <c r="AB13" s="21">
        <f t="shared" si="52"/>
        <v>128000</v>
      </c>
      <c r="AC13" s="21">
        <f t="shared" si="52"/>
        <v>128000</v>
      </c>
      <c r="AD13" s="21">
        <f t="shared" si="80"/>
        <v>220000</v>
      </c>
      <c r="AE13" s="21">
        <f>F13*6</f>
        <v>132000</v>
      </c>
      <c r="AF13" s="21">
        <f t="shared" si="27"/>
        <v>0</v>
      </c>
      <c r="AG13" s="21">
        <f t="shared" si="54"/>
        <v>256000</v>
      </c>
      <c r="AH13" s="21">
        <f t="shared" si="54"/>
        <v>256000</v>
      </c>
      <c r="AI13" s="21">
        <f t="shared" si="54"/>
        <v>256000</v>
      </c>
      <c r="AJ13" s="21">
        <f t="shared" si="54"/>
        <v>440000</v>
      </c>
      <c r="AK13" s="21">
        <f>F13*7</f>
        <v>154000</v>
      </c>
      <c r="AL13" s="21">
        <f t="shared" si="28"/>
        <v>0</v>
      </c>
      <c r="AM13" s="21">
        <f t="shared" si="55"/>
        <v>512000</v>
      </c>
      <c r="AN13" s="21">
        <f t="shared" si="55"/>
        <v>512000</v>
      </c>
      <c r="AO13" s="21">
        <f t="shared" si="55"/>
        <v>512000</v>
      </c>
      <c r="AP13" s="21">
        <f t="shared" si="55"/>
        <v>880000</v>
      </c>
      <c r="AQ13" s="21">
        <f>F13*8</f>
        <v>176000</v>
      </c>
      <c r="AR13" s="21">
        <f t="shared" si="29"/>
        <v>0</v>
      </c>
      <c r="AS13" s="21">
        <f t="shared" si="56"/>
        <v>1024000</v>
      </c>
      <c r="AT13" s="21">
        <f t="shared" si="56"/>
        <v>1024000</v>
      </c>
      <c r="AU13" s="21">
        <f t="shared" si="56"/>
        <v>1024000</v>
      </c>
      <c r="AV13" s="21">
        <f t="shared" si="56"/>
        <v>1760000</v>
      </c>
      <c r="AW13" s="21">
        <f>F13*9</f>
        <v>198000</v>
      </c>
      <c r="AX13" s="21">
        <f>F13*10</f>
        <v>220000</v>
      </c>
      <c r="AY13" s="21">
        <f t="shared" si="58"/>
        <v>2048000</v>
      </c>
      <c r="AZ13" s="21">
        <f t="shared" si="58"/>
        <v>2048000</v>
      </c>
      <c r="BA13" s="21">
        <f t="shared" si="58"/>
        <v>2048000</v>
      </c>
      <c r="BB13" s="21">
        <f t="shared" si="58"/>
        <v>3520000</v>
      </c>
      <c r="BC13" s="21">
        <f>F13*11</f>
        <v>242000</v>
      </c>
      <c r="BD13" s="21">
        <f t="shared" si="12"/>
        <v>0</v>
      </c>
      <c r="BE13" s="21">
        <f t="shared" si="59"/>
        <v>4096000</v>
      </c>
      <c r="BF13" s="21">
        <f t="shared" si="59"/>
        <v>4096000</v>
      </c>
      <c r="BG13" s="21">
        <f t="shared" si="59"/>
        <v>4096000</v>
      </c>
      <c r="BH13" s="21">
        <f t="shared" si="59"/>
        <v>7040000</v>
      </c>
      <c r="BI13" s="21">
        <f>F13*12</f>
        <v>264000</v>
      </c>
      <c r="BJ13" s="21">
        <f t="shared" si="14"/>
        <v>0</v>
      </c>
      <c r="BK13" s="21">
        <f>F13*13</f>
        <v>286000</v>
      </c>
      <c r="BL13" s="21">
        <f t="shared" si="16"/>
        <v>0</v>
      </c>
      <c r="BM13" s="21">
        <f>F13*14</f>
        <v>308000</v>
      </c>
      <c r="BN13" s="21">
        <f>F13*15</f>
        <v>330000</v>
      </c>
      <c r="BO13" s="21">
        <f>F13*16</f>
        <v>352000</v>
      </c>
      <c r="BP13" s="21">
        <f t="shared" si="19"/>
        <v>0</v>
      </c>
      <c r="BQ13" s="21">
        <f>F13*17</f>
        <v>374000</v>
      </c>
      <c r="BR13" s="21">
        <f t="shared" si="21"/>
        <v>0</v>
      </c>
      <c r="BS13" s="21">
        <f>F13*18</f>
        <v>396000</v>
      </c>
      <c r="BT13" s="21">
        <f t="shared" si="23"/>
        <v>0</v>
      </c>
      <c r="BU13" s="21">
        <f>F13*19</f>
        <v>418000</v>
      </c>
      <c r="BV13" s="21">
        <f t="shared" si="25"/>
        <v>0</v>
      </c>
    </row>
    <row r="14" spans="1:76">
      <c r="A14" s="5" t="s">
        <v>119</v>
      </c>
      <c r="B14" s="8">
        <v>0</v>
      </c>
      <c r="C14" s="8">
        <v>0</v>
      </c>
      <c r="D14" s="8">
        <v>0</v>
      </c>
      <c r="E14" s="8">
        <v>0</v>
      </c>
      <c r="F14" s="21">
        <v>22000</v>
      </c>
      <c r="G14" s="21">
        <v>0</v>
      </c>
      <c r="H14" s="21">
        <v>16000</v>
      </c>
      <c r="I14" s="21">
        <v>16000</v>
      </c>
      <c r="J14" s="21">
        <v>16000</v>
      </c>
      <c r="K14" s="21">
        <v>16000</v>
      </c>
      <c r="L14" s="21">
        <f>F14*2</f>
        <v>44000</v>
      </c>
      <c r="M14" s="21">
        <v>0</v>
      </c>
      <c r="N14" s="21">
        <f t="shared" si="49"/>
        <v>32000</v>
      </c>
      <c r="O14" s="21">
        <f t="shared" si="49"/>
        <v>32000</v>
      </c>
      <c r="P14" s="21">
        <f t="shared" si="49"/>
        <v>32000</v>
      </c>
      <c r="Q14" s="21">
        <f t="shared" si="49"/>
        <v>32000</v>
      </c>
      <c r="R14" s="21">
        <f>F14*3</f>
        <v>66000</v>
      </c>
      <c r="S14" s="21">
        <f t="shared" si="26"/>
        <v>0</v>
      </c>
      <c r="T14" s="21">
        <f>H14*3</f>
        <v>48000</v>
      </c>
      <c r="U14" s="21">
        <f>I14*3</f>
        <v>48000</v>
      </c>
      <c r="V14" s="21">
        <f>J14*3</f>
        <v>48000</v>
      </c>
      <c r="W14" s="21">
        <f>K14*3</f>
        <v>48000</v>
      </c>
      <c r="X14" s="21">
        <f>F14*4</f>
        <v>88000</v>
      </c>
      <c r="Y14" s="21">
        <f>F14*5</f>
        <v>110000</v>
      </c>
      <c r="Z14" s="21">
        <f>N14*3</f>
        <v>96000</v>
      </c>
      <c r="AA14" s="21">
        <f>O14*3</f>
        <v>96000</v>
      </c>
      <c r="AB14" s="21">
        <f>P14*3</f>
        <v>96000</v>
      </c>
      <c r="AC14" s="21">
        <f>Q14*3</f>
        <v>96000</v>
      </c>
      <c r="AD14" s="21">
        <f>S14*3</f>
        <v>0</v>
      </c>
      <c r="AE14" s="21">
        <f>F14*6</f>
        <v>132000</v>
      </c>
      <c r="AF14" s="21">
        <f t="shared" si="27"/>
        <v>0</v>
      </c>
      <c r="AG14" s="21">
        <f>U14*3</f>
        <v>144000</v>
      </c>
      <c r="AH14" s="21">
        <f>V14*3</f>
        <v>144000</v>
      </c>
      <c r="AI14" s="21">
        <f>W14*3</f>
        <v>144000</v>
      </c>
      <c r="AJ14" s="21">
        <f>Y14*3</f>
        <v>330000</v>
      </c>
      <c r="AK14" s="21">
        <f>F14*7</f>
        <v>154000</v>
      </c>
      <c r="AL14" s="21">
        <f t="shared" si="28"/>
        <v>0</v>
      </c>
      <c r="AM14" s="21">
        <f>AA14*3</f>
        <v>288000</v>
      </c>
      <c r="AN14" s="21">
        <f>AB14*3</f>
        <v>288000</v>
      </c>
      <c r="AO14" s="21">
        <f>AC14*3</f>
        <v>288000</v>
      </c>
      <c r="AP14" s="21">
        <f>AD14*3</f>
        <v>0</v>
      </c>
      <c r="AQ14" s="21">
        <f>F14*8</f>
        <v>176000</v>
      </c>
      <c r="AR14" s="21">
        <f t="shared" si="29"/>
        <v>0</v>
      </c>
      <c r="AS14" s="21">
        <f>AG14*3</f>
        <v>432000</v>
      </c>
      <c r="AT14" s="21">
        <f>AH14*3</f>
        <v>432000</v>
      </c>
      <c r="AU14" s="21">
        <f>AI14*3</f>
        <v>432000</v>
      </c>
      <c r="AV14" s="21">
        <f>AJ14*3</f>
        <v>990000</v>
      </c>
      <c r="AW14" s="21">
        <f>F14*9</f>
        <v>198000</v>
      </c>
      <c r="AX14" s="21">
        <f>F14*10</f>
        <v>220000</v>
      </c>
      <c r="AY14" s="21">
        <f>AM14*3</f>
        <v>864000</v>
      </c>
      <c r="AZ14" s="21">
        <f>AN14*3</f>
        <v>864000</v>
      </c>
      <c r="BA14" s="21">
        <f>AO14*3</f>
        <v>864000</v>
      </c>
      <c r="BB14" s="21">
        <f>AP14*3</f>
        <v>0</v>
      </c>
      <c r="BC14" s="21">
        <f>F14*11</f>
        <v>242000</v>
      </c>
      <c r="BD14" s="21">
        <f t="shared" si="12"/>
        <v>0</v>
      </c>
      <c r="BE14" s="21">
        <f>AS14*3</f>
        <v>1296000</v>
      </c>
      <c r="BF14" s="21">
        <f>AT14*3</f>
        <v>1296000</v>
      </c>
      <c r="BG14" s="21">
        <f>AU14*3</f>
        <v>1296000</v>
      </c>
      <c r="BH14" s="21">
        <f>AV14*3</f>
        <v>2970000</v>
      </c>
      <c r="BI14" s="21">
        <f>F14*12</f>
        <v>264000</v>
      </c>
      <c r="BJ14" s="21">
        <f t="shared" si="14"/>
        <v>0</v>
      </c>
      <c r="BK14" s="21">
        <f>F14*13</f>
        <v>286000</v>
      </c>
      <c r="BL14" s="21">
        <f t="shared" si="16"/>
        <v>0</v>
      </c>
      <c r="BM14" s="21">
        <f>F14*14</f>
        <v>308000</v>
      </c>
      <c r="BN14" s="21">
        <f>F14*15</f>
        <v>330000</v>
      </c>
      <c r="BO14" s="21">
        <f>F14*16</f>
        <v>352000</v>
      </c>
      <c r="BP14" s="21">
        <f t="shared" si="19"/>
        <v>0</v>
      </c>
      <c r="BQ14" s="21">
        <f>F14*17</f>
        <v>374000</v>
      </c>
      <c r="BR14" s="21">
        <f t="shared" si="21"/>
        <v>0</v>
      </c>
      <c r="BS14" s="21">
        <f>F14*18</f>
        <v>396000</v>
      </c>
      <c r="BT14" s="21">
        <f t="shared" si="23"/>
        <v>0</v>
      </c>
      <c r="BU14" s="21">
        <f>F14*19</f>
        <v>418000</v>
      </c>
      <c r="BV14" s="21">
        <f t="shared" si="25"/>
        <v>0</v>
      </c>
    </row>
    <row r="15" spans="1:76">
      <c r="A15" s="5" t="s">
        <v>122</v>
      </c>
      <c r="B15" s="8">
        <v>0</v>
      </c>
      <c r="C15" s="8">
        <v>0</v>
      </c>
      <c r="D15" s="8">
        <v>0</v>
      </c>
      <c r="E15" s="8">
        <v>0</v>
      </c>
      <c r="F15" s="21">
        <v>18000</v>
      </c>
      <c r="G15" s="21">
        <v>0</v>
      </c>
      <c r="H15" s="21">
        <v>18000</v>
      </c>
      <c r="I15" s="21">
        <v>18000</v>
      </c>
      <c r="J15" s="21">
        <v>18000</v>
      </c>
      <c r="K15" s="21">
        <v>18000</v>
      </c>
      <c r="L15" s="21">
        <f t="shared" ref="L15:L18" si="81">F15*2</f>
        <v>36000</v>
      </c>
      <c r="M15" s="21">
        <v>0</v>
      </c>
      <c r="N15" s="21">
        <v>36000</v>
      </c>
      <c r="O15" s="21">
        <v>36000</v>
      </c>
      <c r="P15" s="21">
        <v>36000</v>
      </c>
      <c r="Q15" s="21">
        <v>36000</v>
      </c>
      <c r="R15" s="21">
        <f t="shared" ref="R15:R18" si="82">F15*3</f>
        <v>54000</v>
      </c>
      <c r="S15" s="21">
        <f t="shared" si="26"/>
        <v>0</v>
      </c>
      <c r="T15" s="21">
        <v>54000</v>
      </c>
      <c r="U15" s="21">
        <v>54000</v>
      </c>
      <c r="V15" s="21">
        <v>54000</v>
      </c>
      <c r="W15" s="21">
        <v>54000</v>
      </c>
      <c r="X15" s="21">
        <f t="shared" ref="X15:X18" si="83">F15*4</f>
        <v>72000</v>
      </c>
      <c r="Y15" s="21">
        <f t="shared" ref="Y15:Y18" si="84">F15*5</f>
        <v>90000</v>
      </c>
      <c r="Z15" s="21">
        <v>72000</v>
      </c>
      <c r="AA15" s="21">
        <v>72000</v>
      </c>
      <c r="AB15" s="21">
        <v>72000</v>
      </c>
      <c r="AC15" s="21">
        <v>72000</v>
      </c>
      <c r="AD15" s="21">
        <v>72000</v>
      </c>
      <c r="AE15" s="21">
        <f t="shared" ref="AE15:AE18" si="85">F15*6</f>
        <v>108000</v>
      </c>
      <c r="AF15" s="21">
        <f t="shared" si="27"/>
        <v>0</v>
      </c>
      <c r="AG15" s="21">
        <v>90000</v>
      </c>
      <c r="AH15" s="21">
        <v>90000</v>
      </c>
      <c r="AI15" s="21">
        <v>90000</v>
      </c>
      <c r="AJ15" s="21">
        <v>90000</v>
      </c>
      <c r="AK15" s="21">
        <f t="shared" ref="AK15:AK18" si="86">F15*7</f>
        <v>126000</v>
      </c>
      <c r="AL15" s="21">
        <f t="shared" si="28"/>
        <v>0</v>
      </c>
      <c r="AM15" s="21">
        <v>108000</v>
      </c>
      <c r="AN15" s="21">
        <v>108000</v>
      </c>
      <c r="AO15" s="21">
        <v>108000</v>
      </c>
      <c r="AP15" s="21">
        <v>108000</v>
      </c>
      <c r="AQ15" s="21">
        <f t="shared" ref="AQ15:AQ18" si="87">F15*8</f>
        <v>144000</v>
      </c>
      <c r="AR15" s="21">
        <f t="shared" si="29"/>
        <v>0</v>
      </c>
      <c r="AS15" s="21">
        <v>126000</v>
      </c>
      <c r="AT15" s="21">
        <v>126000</v>
      </c>
      <c r="AU15" s="21">
        <v>126000</v>
      </c>
      <c r="AV15" s="21">
        <v>126000</v>
      </c>
      <c r="AW15" s="21">
        <f t="shared" ref="AW15:AW18" si="88">F15*9</f>
        <v>162000</v>
      </c>
      <c r="AX15" s="21">
        <f t="shared" ref="AX15:AX18" si="89">F15*10</f>
        <v>180000</v>
      </c>
      <c r="AY15" s="21">
        <v>144000</v>
      </c>
      <c r="AZ15" s="21">
        <v>144000</v>
      </c>
      <c r="BA15" s="21">
        <v>144000</v>
      </c>
      <c r="BB15" s="21">
        <v>144000</v>
      </c>
      <c r="BC15" s="21">
        <f t="shared" ref="BC15:BC18" si="90">F15*11</f>
        <v>198000</v>
      </c>
      <c r="BD15" s="21">
        <f t="shared" si="12"/>
        <v>0</v>
      </c>
      <c r="BE15" s="21">
        <v>162000</v>
      </c>
      <c r="BF15" s="21">
        <v>162000</v>
      </c>
      <c r="BG15" s="21">
        <v>162000</v>
      </c>
      <c r="BH15" s="21">
        <v>162000</v>
      </c>
      <c r="BI15" s="21">
        <f t="shared" ref="BI15:BI18" si="91">F15*12</f>
        <v>216000</v>
      </c>
      <c r="BJ15" s="21">
        <f t="shared" si="14"/>
        <v>0</v>
      </c>
      <c r="BK15" s="21">
        <f t="shared" ref="BK15:BK18" si="92">F15*13</f>
        <v>234000</v>
      </c>
      <c r="BL15" s="21">
        <f t="shared" si="16"/>
        <v>0</v>
      </c>
      <c r="BM15" s="21">
        <f t="shared" ref="BM15:BM18" si="93">F15*14</f>
        <v>252000</v>
      </c>
      <c r="BN15" s="21">
        <f t="shared" ref="BN15:BN18" si="94">F15*15</f>
        <v>270000</v>
      </c>
      <c r="BO15" s="21">
        <f t="shared" ref="BO15:BO18" si="95">F15*16</f>
        <v>288000</v>
      </c>
      <c r="BP15" s="21">
        <f t="shared" si="19"/>
        <v>0</v>
      </c>
      <c r="BQ15" s="21">
        <f t="shared" ref="BQ15:BQ18" si="96">F15*17</f>
        <v>306000</v>
      </c>
      <c r="BR15" s="21">
        <f t="shared" si="21"/>
        <v>0</v>
      </c>
      <c r="BS15" s="21">
        <f t="shared" ref="BS15:BS18" si="97">F15*18</f>
        <v>324000</v>
      </c>
      <c r="BT15" s="21">
        <f t="shared" si="23"/>
        <v>0</v>
      </c>
      <c r="BU15" s="21">
        <f t="shared" ref="BU15:BU18" si="98">F15*19</f>
        <v>342000</v>
      </c>
      <c r="BV15" s="21">
        <f t="shared" si="25"/>
        <v>0</v>
      </c>
    </row>
    <row r="16" spans="1:76">
      <c r="A16" s="5" t="s">
        <v>121</v>
      </c>
      <c r="B16" s="8">
        <v>0</v>
      </c>
      <c r="C16" s="8">
        <v>0</v>
      </c>
      <c r="D16" s="8">
        <v>0</v>
      </c>
      <c r="E16" s="8">
        <v>0</v>
      </c>
      <c r="F16" s="21">
        <v>18000</v>
      </c>
      <c r="G16" s="21">
        <v>0</v>
      </c>
      <c r="H16" s="21">
        <v>18000</v>
      </c>
      <c r="I16" s="21">
        <v>18000</v>
      </c>
      <c r="J16" s="21">
        <v>18000</v>
      </c>
      <c r="K16" s="21">
        <v>18000</v>
      </c>
      <c r="L16" s="21">
        <f t="shared" si="81"/>
        <v>36000</v>
      </c>
      <c r="M16" s="21">
        <v>0</v>
      </c>
      <c r="N16" s="21">
        <v>36000</v>
      </c>
      <c r="O16" s="21">
        <v>36000</v>
      </c>
      <c r="P16" s="21">
        <v>36000</v>
      </c>
      <c r="Q16" s="21">
        <v>36000</v>
      </c>
      <c r="R16" s="21">
        <f t="shared" si="82"/>
        <v>54000</v>
      </c>
      <c r="S16" s="21">
        <f t="shared" si="26"/>
        <v>0</v>
      </c>
      <c r="T16" s="21">
        <v>54000</v>
      </c>
      <c r="U16" s="21">
        <v>54000</v>
      </c>
      <c r="V16" s="21">
        <v>54000</v>
      </c>
      <c r="W16" s="21">
        <v>54000</v>
      </c>
      <c r="X16" s="21">
        <f t="shared" si="83"/>
        <v>72000</v>
      </c>
      <c r="Y16" s="21">
        <f t="shared" si="84"/>
        <v>90000</v>
      </c>
      <c r="Z16" s="21">
        <v>72000</v>
      </c>
      <c r="AA16" s="21">
        <v>72000</v>
      </c>
      <c r="AB16" s="21">
        <v>72000</v>
      </c>
      <c r="AC16" s="21">
        <v>72000</v>
      </c>
      <c r="AD16" s="21">
        <v>72000</v>
      </c>
      <c r="AE16" s="21">
        <f t="shared" si="85"/>
        <v>108000</v>
      </c>
      <c r="AF16" s="21">
        <f t="shared" si="27"/>
        <v>0</v>
      </c>
      <c r="AG16" s="21">
        <v>90000</v>
      </c>
      <c r="AH16" s="21">
        <v>90000</v>
      </c>
      <c r="AI16" s="21">
        <v>90000</v>
      </c>
      <c r="AJ16" s="21">
        <v>90000</v>
      </c>
      <c r="AK16" s="21">
        <f t="shared" si="86"/>
        <v>126000</v>
      </c>
      <c r="AL16" s="21">
        <f t="shared" si="28"/>
        <v>0</v>
      </c>
      <c r="AM16" s="21">
        <v>108000</v>
      </c>
      <c r="AN16" s="21">
        <v>108000</v>
      </c>
      <c r="AO16" s="21">
        <v>108000</v>
      </c>
      <c r="AP16" s="21">
        <v>108000</v>
      </c>
      <c r="AQ16" s="21">
        <f t="shared" si="87"/>
        <v>144000</v>
      </c>
      <c r="AR16" s="21">
        <f t="shared" si="29"/>
        <v>0</v>
      </c>
      <c r="AS16" s="21">
        <v>126000</v>
      </c>
      <c r="AT16" s="21">
        <v>126000</v>
      </c>
      <c r="AU16" s="21">
        <v>126000</v>
      </c>
      <c r="AV16" s="21">
        <v>126000</v>
      </c>
      <c r="AW16" s="21">
        <f t="shared" si="88"/>
        <v>162000</v>
      </c>
      <c r="AX16" s="21">
        <f t="shared" si="89"/>
        <v>180000</v>
      </c>
      <c r="AY16" s="21">
        <v>144000</v>
      </c>
      <c r="AZ16" s="21">
        <v>144000</v>
      </c>
      <c r="BA16" s="21">
        <v>144000</v>
      </c>
      <c r="BB16" s="21">
        <v>144000</v>
      </c>
      <c r="BC16" s="21">
        <f t="shared" si="90"/>
        <v>198000</v>
      </c>
      <c r="BD16" s="21">
        <f t="shared" si="12"/>
        <v>0</v>
      </c>
      <c r="BE16" s="21">
        <v>162000</v>
      </c>
      <c r="BF16" s="21">
        <v>162000</v>
      </c>
      <c r="BG16" s="21">
        <v>162000</v>
      </c>
      <c r="BH16" s="21">
        <v>162000</v>
      </c>
      <c r="BI16" s="21">
        <f t="shared" si="91"/>
        <v>216000</v>
      </c>
      <c r="BJ16" s="21">
        <f t="shared" si="14"/>
        <v>0</v>
      </c>
      <c r="BK16" s="21">
        <f t="shared" si="92"/>
        <v>234000</v>
      </c>
      <c r="BL16" s="21">
        <f t="shared" si="16"/>
        <v>0</v>
      </c>
      <c r="BM16" s="21">
        <f t="shared" si="93"/>
        <v>252000</v>
      </c>
      <c r="BN16" s="21">
        <f t="shared" si="94"/>
        <v>270000</v>
      </c>
      <c r="BO16" s="21">
        <f t="shared" si="95"/>
        <v>288000</v>
      </c>
      <c r="BP16" s="21">
        <f t="shared" si="19"/>
        <v>0</v>
      </c>
      <c r="BQ16" s="21">
        <f t="shared" si="96"/>
        <v>306000</v>
      </c>
      <c r="BR16" s="21">
        <f t="shared" si="21"/>
        <v>0</v>
      </c>
      <c r="BS16" s="21">
        <f t="shared" si="97"/>
        <v>324000</v>
      </c>
      <c r="BT16" s="21">
        <f t="shared" si="23"/>
        <v>0</v>
      </c>
      <c r="BU16" s="21">
        <f t="shared" si="98"/>
        <v>342000</v>
      </c>
      <c r="BV16" s="21">
        <f t="shared" si="25"/>
        <v>0</v>
      </c>
    </row>
    <row r="17" spans="1:74">
      <c r="A17" s="5" t="s">
        <v>118</v>
      </c>
      <c r="B17" s="8">
        <v>0</v>
      </c>
      <c r="C17" s="8">
        <v>0</v>
      </c>
      <c r="D17" s="8">
        <v>0</v>
      </c>
      <c r="E17" s="8">
        <v>0</v>
      </c>
      <c r="F17" s="21">
        <v>22000</v>
      </c>
      <c r="G17" s="21">
        <v>0</v>
      </c>
      <c r="H17" s="21">
        <v>22000</v>
      </c>
      <c r="I17" s="21">
        <v>22000</v>
      </c>
      <c r="J17" s="21">
        <v>22000</v>
      </c>
      <c r="K17" s="21">
        <v>22000</v>
      </c>
      <c r="L17" s="21">
        <f t="shared" si="81"/>
        <v>44000</v>
      </c>
      <c r="M17" s="21">
        <v>0</v>
      </c>
      <c r="N17" s="21">
        <v>44000</v>
      </c>
      <c r="O17" s="21">
        <v>44000</v>
      </c>
      <c r="P17" s="21">
        <v>44000</v>
      </c>
      <c r="Q17" s="21">
        <v>44000</v>
      </c>
      <c r="R17" s="21">
        <f t="shared" si="82"/>
        <v>66000</v>
      </c>
      <c r="S17" s="21">
        <f t="shared" si="26"/>
        <v>0</v>
      </c>
      <c r="T17" s="21">
        <v>66000</v>
      </c>
      <c r="U17" s="21">
        <v>66000</v>
      </c>
      <c r="V17" s="21">
        <v>66000</v>
      </c>
      <c r="W17" s="21">
        <v>66000</v>
      </c>
      <c r="X17" s="21">
        <f t="shared" si="83"/>
        <v>88000</v>
      </c>
      <c r="Y17" s="21">
        <f t="shared" si="84"/>
        <v>110000</v>
      </c>
      <c r="Z17" s="21">
        <v>88000</v>
      </c>
      <c r="AA17" s="21">
        <v>88000</v>
      </c>
      <c r="AB17" s="21">
        <v>88000</v>
      </c>
      <c r="AC17" s="21">
        <v>88000</v>
      </c>
      <c r="AD17" s="21">
        <v>88000</v>
      </c>
      <c r="AE17" s="21">
        <f t="shared" si="85"/>
        <v>132000</v>
      </c>
      <c r="AF17" s="21">
        <f t="shared" si="27"/>
        <v>0</v>
      </c>
      <c r="AG17" s="21">
        <v>110000</v>
      </c>
      <c r="AH17" s="21">
        <v>110000</v>
      </c>
      <c r="AI17" s="21">
        <v>110000</v>
      </c>
      <c r="AJ17" s="21">
        <v>110000</v>
      </c>
      <c r="AK17" s="21">
        <f t="shared" si="86"/>
        <v>154000</v>
      </c>
      <c r="AL17" s="21">
        <f t="shared" si="28"/>
        <v>0</v>
      </c>
      <c r="AM17" s="21">
        <v>132000</v>
      </c>
      <c r="AN17" s="21">
        <v>132000</v>
      </c>
      <c r="AO17" s="21">
        <v>132000</v>
      </c>
      <c r="AP17" s="21">
        <v>132000</v>
      </c>
      <c r="AQ17" s="21">
        <f t="shared" si="87"/>
        <v>176000</v>
      </c>
      <c r="AR17" s="21">
        <f t="shared" si="29"/>
        <v>0</v>
      </c>
      <c r="AS17" s="21">
        <v>154000</v>
      </c>
      <c r="AT17" s="21">
        <v>154000</v>
      </c>
      <c r="AU17" s="21">
        <v>154000</v>
      </c>
      <c r="AV17" s="21">
        <v>154000</v>
      </c>
      <c r="AW17" s="21">
        <f t="shared" si="88"/>
        <v>198000</v>
      </c>
      <c r="AX17" s="21">
        <f t="shared" si="89"/>
        <v>220000</v>
      </c>
      <c r="AY17" s="21">
        <v>176000</v>
      </c>
      <c r="AZ17" s="21">
        <v>176000</v>
      </c>
      <c r="BA17" s="21">
        <v>176000</v>
      </c>
      <c r="BB17" s="21">
        <v>176000</v>
      </c>
      <c r="BC17" s="21">
        <f t="shared" si="90"/>
        <v>242000</v>
      </c>
      <c r="BD17" s="21">
        <f t="shared" si="12"/>
        <v>0</v>
      </c>
      <c r="BE17" s="21">
        <v>198000</v>
      </c>
      <c r="BF17" s="21">
        <v>198000</v>
      </c>
      <c r="BG17" s="21">
        <v>198000</v>
      </c>
      <c r="BH17" s="21">
        <v>198000</v>
      </c>
      <c r="BI17" s="21">
        <f t="shared" si="91"/>
        <v>264000</v>
      </c>
      <c r="BJ17" s="21">
        <f t="shared" si="14"/>
        <v>0</v>
      </c>
      <c r="BK17" s="21">
        <f t="shared" si="92"/>
        <v>286000</v>
      </c>
      <c r="BL17" s="21">
        <f t="shared" si="16"/>
        <v>0</v>
      </c>
      <c r="BM17" s="21">
        <f t="shared" si="93"/>
        <v>308000</v>
      </c>
      <c r="BN17" s="21">
        <f t="shared" si="94"/>
        <v>330000</v>
      </c>
      <c r="BO17" s="21">
        <f t="shared" si="95"/>
        <v>352000</v>
      </c>
      <c r="BP17" s="21">
        <f t="shared" si="19"/>
        <v>0</v>
      </c>
      <c r="BQ17" s="21">
        <f t="shared" si="96"/>
        <v>374000</v>
      </c>
      <c r="BR17" s="21">
        <f t="shared" si="21"/>
        <v>0</v>
      </c>
      <c r="BS17" s="21">
        <f t="shared" si="97"/>
        <v>396000</v>
      </c>
      <c r="BT17" s="21">
        <f t="shared" si="23"/>
        <v>0</v>
      </c>
      <c r="BU17" s="21">
        <f t="shared" si="98"/>
        <v>418000</v>
      </c>
      <c r="BV17" s="21">
        <f t="shared" si="25"/>
        <v>0</v>
      </c>
    </row>
    <row r="18" spans="1:74">
      <c r="A18" s="5" t="s">
        <v>123</v>
      </c>
      <c r="B18" s="8">
        <v>0</v>
      </c>
      <c r="C18" s="8">
        <v>0</v>
      </c>
      <c r="D18" s="8">
        <v>0</v>
      </c>
      <c r="E18" s="8">
        <v>0</v>
      </c>
      <c r="F18" s="21">
        <v>22000</v>
      </c>
      <c r="G18" s="21">
        <v>0</v>
      </c>
      <c r="H18" s="21">
        <v>22000</v>
      </c>
      <c r="I18" s="21">
        <v>22000</v>
      </c>
      <c r="J18" s="21">
        <v>22000</v>
      </c>
      <c r="K18" s="21">
        <v>22000</v>
      </c>
      <c r="L18" s="21">
        <f t="shared" si="81"/>
        <v>44000</v>
      </c>
      <c r="M18" s="21">
        <v>0</v>
      </c>
      <c r="N18" s="21">
        <v>44000</v>
      </c>
      <c r="O18" s="21">
        <v>44000</v>
      </c>
      <c r="P18" s="21">
        <v>44000</v>
      </c>
      <c r="Q18" s="21">
        <v>44000</v>
      </c>
      <c r="R18" s="21">
        <f t="shared" si="82"/>
        <v>66000</v>
      </c>
      <c r="S18" s="21">
        <f t="shared" si="26"/>
        <v>0</v>
      </c>
      <c r="T18" s="21">
        <v>66000</v>
      </c>
      <c r="U18" s="21">
        <v>66000</v>
      </c>
      <c r="V18" s="21">
        <v>66000</v>
      </c>
      <c r="W18" s="21">
        <v>66000</v>
      </c>
      <c r="X18" s="21">
        <f t="shared" si="83"/>
        <v>88000</v>
      </c>
      <c r="Y18" s="21">
        <f t="shared" si="84"/>
        <v>110000</v>
      </c>
      <c r="Z18" s="21">
        <v>88000</v>
      </c>
      <c r="AA18" s="21">
        <v>88000</v>
      </c>
      <c r="AB18" s="21">
        <v>88000</v>
      </c>
      <c r="AC18" s="21">
        <v>88000</v>
      </c>
      <c r="AD18" s="21">
        <v>88000</v>
      </c>
      <c r="AE18" s="21">
        <f t="shared" si="85"/>
        <v>132000</v>
      </c>
      <c r="AF18" s="21">
        <f t="shared" si="27"/>
        <v>0</v>
      </c>
      <c r="AG18" s="21">
        <v>110000</v>
      </c>
      <c r="AH18" s="21">
        <v>110000</v>
      </c>
      <c r="AI18" s="21">
        <v>110000</v>
      </c>
      <c r="AJ18" s="21">
        <v>110000</v>
      </c>
      <c r="AK18" s="21">
        <f t="shared" si="86"/>
        <v>154000</v>
      </c>
      <c r="AL18" s="21">
        <f t="shared" si="28"/>
        <v>0</v>
      </c>
      <c r="AM18" s="21">
        <v>132000</v>
      </c>
      <c r="AN18" s="21">
        <v>132000</v>
      </c>
      <c r="AO18" s="21">
        <v>132000</v>
      </c>
      <c r="AP18" s="21">
        <v>132000</v>
      </c>
      <c r="AQ18" s="21">
        <f t="shared" si="87"/>
        <v>176000</v>
      </c>
      <c r="AR18" s="21">
        <f t="shared" si="29"/>
        <v>0</v>
      </c>
      <c r="AS18" s="21">
        <v>154000</v>
      </c>
      <c r="AT18" s="21">
        <v>154000</v>
      </c>
      <c r="AU18" s="21">
        <v>154000</v>
      </c>
      <c r="AV18" s="21">
        <v>154000</v>
      </c>
      <c r="AW18" s="21">
        <f t="shared" si="88"/>
        <v>198000</v>
      </c>
      <c r="AX18" s="21">
        <f t="shared" si="89"/>
        <v>220000</v>
      </c>
      <c r="AY18" s="21">
        <v>176000</v>
      </c>
      <c r="AZ18" s="21">
        <v>176000</v>
      </c>
      <c r="BA18" s="21">
        <v>176000</v>
      </c>
      <c r="BB18" s="21">
        <v>176000</v>
      </c>
      <c r="BC18" s="21">
        <f t="shared" si="90"/>
        <v>242000</v>
      </c>
      <c r="BD18" s="21">
        <f t="shared" si="12"/>
        <v>0</v>
      </c>
      <c r="BE18" s="21">
        <v>198000</v>
      </c>
      <c r="BF18" s="21">
        <v>198000</v>
      </c>
      <c r="BG18" s="21">
        <v>198000</v>
      </c>
      <c r="BH18" s="21">
        <v>198000</v>
      </c>
      <c r="BI18" s="21">
        <f t="shared" si="91"/>
        <v>264000</v>
      </c>
      <c r="BJ18" s="21">
        <f t="shared" si="14"/>
        <v>0</v>
      </c>
      <c r="BK18" s="21">
        <f t="shared" si="92"/>
        <v>286000</v>
      </c>
      <c r="BL18" s="21">
        <f t="shared" si="16"/>
        <v>0</v>
      </c>
      <c r="BM18" s="21">
        <f t="shared" si="93"/>
        <v>308000</v>
      </c>
      <c r="BN18" s="21">
        <f t="shared" si="94"/>
        <v>330000</v>
      </c>
      <c r="BO18" s="21">
        <f t="shared" si="95"/>
        <v>352000</v>
      </c>
      <c r="BP18" s="21">
        <f t="shared" si="19"/>
        <v>0</v>
      </c>
      <c r="BQ18" s="21">
        <f t="shared" si="96"/>
        <v>374000</v>
      </c>
      <c r="BR18" s="21">
        <f t="shared" si="21"/>
        <v>0</v>
      </c>
      <c r="BS18" s="21">
        <f t="shared" si="97"/>
        <v>396000</v>
      </c>
      <c r="BT18" s="21">
        <f t="shared" si="23"/>
        <v>0</v>
      </c>
      <c r="BU18" s="21">
        <f t="shared" si="98"/>
        <v>418000</v>
      </c>
      <c r="BV18" s="21">
        <f t="shared" si="25"/>
        <v>0</v>
      </c>
    </row>
  </sheetData>
  <mergeCells count="1">
    <mergeCell ref="A2:BX2"/>
  </mergeCells>
  <pageMargins left="0.7" right="0.7" top="0.75" bottom="0.75" header="0.3" footer="0.3"/>
  <pageSetup paperSize="9" orientation="portrait"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8658FA-0BC4-4025-855D-75A6F6DAA770}">
  <dimension ref="A1:AI21"/>
  <sheetViews>
    <sheetView zoomScale="67" zoomScaleNormal="80" workbookViewId="0">
      <selection activeCell="Q17" sqref="Q17"/>
    </sheetView>
  </sheetViews>
  <sheetFormatPr defaultColWidth="10.6640625" defaultRowHeight="24.6"/>
  <cols>
    <col min="1" max="1" width="29.109375" style="27" customWidth="1"/>
    <col min="2" max="2" width="11.109375" style="27" customWidth="1"/>
    <col min="3" max="18" width="11.44140625" style="27" customWidth="1"/>
    <col min="19" max="21" width="12" style="27" customWidth="1"/>
    <col min="22" max="23" width="11.44140625" style="27" customWidth="1"/>
    <col min="24" max="16384" width="10.6640625" style="27"/>
  </cols>
  <sheetData>
    <row r="1" spans="1:35" ht="27" customHeight="1">
      <c r="P1" s="28"/>
    </row>
    <row r="2" spans="1:35" ht="27" customHeight="1">
      <c r="G2" s="27" t="s">
        <v>37</v>
      </c>
      <c r="J2" s="27" t="s">
        <v>35</v>
      </c>
      <c r="P2" s="28"/>
    </row>
    <row r="3" spans="1:35" ht="27" customHeight="1">
      <c r="G3" s="27" t="s">
        <v>37</v>
      </c>
      <c r="J3" s="27" t="s">
        <v>36</v>
      </c>
      <c r="P3" s="28"/>
    </row>
    <row r="4" spans="1:35">
      <c r="B4" s="66" t="s">
        <v>24</v>
      </c>
      <c r="C4" s="66"/>
      <c r="D4" s="66"/>
      <c r="E4" s="66"/>
      <c r="F4" s="66"/>
      <c r="G4" s="66"/>
      <c r="H4" s="66"/>
      <c r="I4" s="66"/>
      <c r="J4" s="66"/>
      <c r="K4" s="66"/>
      <c r="L4" s="66"/>
      <c r="M4" s="66"/>
      <c r="N4" s="66"/>
      <c r="O4" s="66"/>
      <c r="P4" s="66"/>
      <c r="Q4" s="66"/>
      <c r="R4" s="66"/>
      <c r="S4" s="66"/>
      <c r="T4" s="66"/>
      <c r="U4" s="66"/>
      <c r="V4" s="66"/>
      <c r="W4" s="66"/>
      <c r="X4" s="66"/>
      <c r="Y4" s="66"/>
      <c r="Z4" s="66"/>
      <c r="AA4" s="66"/>
      <c r="AB4" s="66"/>
      <c r="AC4" s="66"/>
      <c r="AD4" s="66"/>
      <c r="AE4" s="66"/>
      <c r="AF4" s="66"/>
      <c r="AG4" s="66"/>
      <c r="AH4" s="66"/>
      <c r="AI4" s="66"/>
    </row>
    <row r="5" spans="1:35">
      <c r="B5" s="27" t="s">
        <v>40</v>
      </c>
      <c r="C5" s="27" t="s">
        <v>4</v>
      </c>
      <c r="D5" s="27" t="s">
        <v>5</v>
      </c>
      <c r="E5" s="27" t="s">
        <v>6</v>
      </c>
      <c r="F5" s="27" t="s">
        <v>44</v>
      </c>
      <c r="G5" s="27" t="s">
        <v>8</v>
      </c>
      <c r="H5" s="27" t="s">
        <v>46</v>
      </c>
      <c r="I5" s="27" t="s">
        <v>10</v>
      </c>
      <c r="J5" s="27" t="s">
        <v>11</v>
      </c>
      <c r="K5" s="27" t="s">
        <v>12</v>
      </c>
      <c r="L5" s="27" t="s">
        <v>50</v>
      </c>
      <c r="M5" s="27" t="s">
        <v>14</v>
      </c>
      <c r="N5" s="27" t="s">
        <v>52</v>
      </c>
      <c r="O5" s="27" t="s">
        <v>16</v>
      </c>
      <c r="P5" s="27" t="s">
        <v>17</v>
      </c>
      <c r="Q5" s="27" t="s">
        <v>18</v>
      </c>
      <c r="R5" s="27" t="s">
        <v>56</v>
      </c>
      <c r="S5" s="27" t="s">
        <v>20</v>
      </c>
      <c r="T5" s="27" t="s">
        <v>58</v>
      </c>
      <c r="U5" s="27" t="s">
        <v>22</v>
      </c>
      <c r="V5" s="27" t="s">
        <v>67</v>
      </c>
    </row>
    <row r="6" spans="1:35" s="30" customFormat="1">
      <c r="A6" s="29" t="s">
        <v>0</v>
      </c>
    </row>
    <row r="7" spans="1:35" s="30" customFormat="1">
      <c r="A7" s="29" t="s">
        <v>126</v>
      </c>
      <c r="B7" s="30">
        <v>0</v>
      </c>
      <c r="C7" s="30">
        <v>0</v>
      </c>
      <c r="D7" s="30">
        <v>22050</v>
      </c>
      <c r="E7" s="30">
        <v>0</v>
      </c>
      <c r="F7" s="30">
        <v>0</v>
      </c>
      <c r="G7" s="30">
        <f t="shared" ref="G7:I14" si="0">D7*2</f>
        <v>44100</v>
      </c>
      <c r="H7" s="30">
        <f t="shared" si="0"/>
        <v>0</v>
      </c>
      <c r="I7" s="30">
        <f t="shared" si="0"/>
        <v>0</v>
      </c>
      <c r="J7" s="30">
        <f>D7*3</f>
        <v>66150</v>
      </c>
      <c r="K7" s="30">
        <v>0</v>
      </c>
      <c r="L7" s="30">
        <v>0</v>
      </c>
      <c r="M7" s="30">
        <f>D7*4</f>
        <v>88200</v>
      </c>
      <c r="N7" s="30">
        <f>E7*4</f>
        <v>0</v>
      </c>
      <c r="O7" s="30">
        <f>F7*4</f>
        <v>0</v>
      </c>
      <c r="P7" s="30">
        <f t="shared" ref="P7:R7" si="1">D7*5</f>
        <v>110250</v>
      </c>
      <c r="Q7" s="30">
        <f t="shared" si="1"/>
        <v>0</v>
      </c>
      <c r="R7" s="30">
        <f t="shared" si="1"/>
        <v>0</v>
      </c>
      <c r="S7" s="30">
        <f>D7*6</f>
        <v>132300</v>
      </c>
      <c r="T7" s="30">
        <f>E7*6</f>
        <v>0</v>
      </c>
      <c r="U7" s="30">
        <f>F7*6</f>
        <v>0</v>
      </c>
      <c r="V7" s="30">
        <f t="shared" ref="V7" si="2">D7*7</f>
        <v>154350</v>
      </c>
    </row>
    <row r="8" spans="1:35" s="30" customFormat="1">
      <c r="A8" s="29" t="s">
        <v>28</v>
      </c>
      <c r="B8" s="30">
        <v>0</v>
      </c>
      <c r="C8" s="30">
        <v>0</v>
      </c>
      <c r="D8" s="30">
        <v>17000</v>
      </c>
      <c r="E8" s="30">
        <v>0</v>
      </c>
      <c r="F8" s="30">
        <v>0</v>
      </c>
      <c r="G8" s="30">
        <f t="shared" si="0"/>
        <v>34000</v>
      </c>
      <c r="H8" s="30">
        <f t="shared" si="0"/>
        <v>0</v>
      </c>
      <c r="I8" s="30">
        <f t="shared" si="0"/>
        <v>0</v>
      </c>
      <c r="J8" s="30">
        <f t="shared" ref="J8:J13" si="3">D8*3</f>
        <v>51000</v>
      </c>
      <c r="K8" s="30">
        <v>0</v>
      </c>
      <c r="L8" s="30">
        <v>0</v>
      </c>
      <c r="M8" s="30">
        <f t="shared" ref="M8:O14" si="4">D8*4</f>
        <v>68000</v>
      </c>
      <c r="N8" s="30">
        <f t="shared" si="4"/>
        <v>0</v>
      </c>
      <c r="O8" s="30">
        <f t="shared" si="4"/>
        <v>0</v>
      </c>
      <c r="P8" s="30">
        <f t="shared" ref="P8:R14" si="5">D8*5</f>
        <v>85000</v>
      </c>
      <c r="Q8" s="30">
        <f t="shared" si="5"/>
        <v>0</v>
      </c>
      <c r="R8" s="30">
        <f t="shared" si="5"/>
        <v>0</v>
      </c>
      <c r="S8" s="30">
        <f t="shared" ref="S8:U14" si="6">D8*6</f>
        <v>102000</v>
      </c>
      <c r="T8" s="30">
        <f t="shared" si="6"/>
        <v>0</v>
      </c>
      <c r="U8" s="30">
        <f t="shared" si="6"/>
        <v>0</v>
      </c>
      <c r="V8" s="30">
        <f t="shared" ref="V8:V14" si="7">D8*7</f>
        <v>119000</v>
      </c>
    </row>
    <row r="9" spans="1:35" s="30" customFormat="1">
      <c r="A9" s="29" t="s">
        <v>124</v>
      </c>
      <c r="B9" s="30">
        <v>0</v>
      </c>
      <c r="C9" s="30">
        <v>0</v>
      </c>
      <c r="D9" s="30">
        <v>19450</v>
      </c>
      <c r="E9" s="30">
        <v>0</v>
      </c>
      <c r="F9" s="30">
        <v>0</v>
      </c>
      <c r="G9" s="30">
        <f t="shared" si="0"/>
        <v>38900</v>
      </c>
      <c r="H9" s="30">
        <f t="shared" si="0"/>
        <v>0</v>
      </c>
      <c r="I9" s="30">
        <f t="shared" si="0"/>
        <v>0</v>
      </c>
      <c r="J9" s="30">
        <f t="shared" si="3"/>
        <v>58350</v>
      </c>
      <c r="K9" s="30">
        <v>0</v>
      </c>
      <c r="L9" s="30">
        <v>0</v>
      </c>
      <c r="M9" s="30">
        <f t="shared" ref="M9:O13" si="8">D9*4</f>
        <v>77800</v>
      </c>
      <c r="N9" s="30">
        <f t="shared" si="8"/>
        <v>0</v>
      </c>
      <c r="O9" s="30">
        <f t="shared" si="8"/>
        <v>0</v>
      </c>
      <c r="P9" s="30">
        <f t="shared" si="5"/>
        <v>97250</v>
      </c>
      <c r="Q9" s="30">
        <f t="shared" si="5"/>
        <v>0</v>
      </c>
      <c r="R9" s="30">
        <f t="shared" si="5"/>
        <v>0</v>
      </c>
      <c r="S9" s="30">
        <f t="shared" ref="S9:U13" si="9">D9*6</f>
        <v>116700</v>
      </c>
      <c r="T9" s="30">
        <f t="shared" si="9"/>
        <v>0</v>
      </c>
      <c r="U9" s="30">
        <f t="shared" si="9"/>
        <v>0</v>
      </c>
      <c r="V9" s="30">
        <f t="shared" si="7"/>
        <v>136150</v>
      </c>
    </row>
    <row r="10" spans="1:35" s="30" customFormat="1">
      <c r="A10" s="29" t="s">
        <v>30</v>
      </c>
      <c r="B10" s="30">
        <v>0</v>
      </c>
      <c r="C10" s="30">
        <v>0</v>
      </c>
      <c r="D10" s="30">
        <v>22000</v>
      </c>
      <c r="E10" s="30">
        <v>0</v>
      </c>
      <c r="F10" s="30">
        <v>0</v>
      </c>
      <c r="G10" s="30">
        <f t="shared" si="0"/>
        <v>44000</v>
      </c>
      <c r="H10" s="30">
        <v>0</v>
      </c>
      <c r="I10" s="30">
        <v>0</v>
      </c>
      <c r="J10" s="30">
        <f t="shared" si="3"/>
        <v>66000</v>
      </c>
      <c r="K10" s="30">
        <f t="shared" ref="K10:L13" si="10">E10*3</f>
        <v>0</v>
      </c>
      <c r="L10" s="30">
        <f t="shared" si="10"/>
        <v>0</v>
      </c>
      <c r="M10" s="30">
        <f t="shared" si="8"/>
        <v>88000</v>
      </c>
      <c r="N10" s="30">
        <f t="shared" si="8"/>
        <v>0</v>
      </c>
      <c r="O10" s="30">
        <f t="shared" si="8"/>
        <v>0</v>
      </c>
      <c r="P10" s="30">
        <f t="shared" ref="P10:R13" si="11">D10*5</f>
        <v>110000</v>
      </c>
      <c r="Q10" s="30">
        <f t="shared" si="11"/>
        <v>0</v>
      </c>
      <c r="R10" s="30">
        <f t="shared" si="11"/>
        <v>0</v>
      </c>
      <c r="S10" s="30">
        <f t="shared" si="9"/>
        <v>132000</v>
      </c>
      <c r="T10" s="30">
        <f t="shared" si="9"/>
        <v>0</v>
      </c>
      <c r="U10" s="30">
        <f t="shared" si="9"/>
        <v>0</v>
      </c>
      <c r="V10" s="30">
        <f>D10*7</f>
        <v>154000</v>
      </c>
    </row>
    <row r="11" spans="1:35" s="30" customFormat="1">
      <c r="A11" s="29" t="s">
        <v>33</v>
      </c>
      <c r="B11" s="30">
        <v>0</v>
      </c>
      <c r="C11" s="30">
        <v>0</v>
      </c>
      <c r="D11" s="30">
        <v>11000</v>
      </c>
      <c r="E11" s="30">
        <v>0</v>
      </c>
      <c r="F11" s="30">
        <v>0</v>
      </c>
      <c r="G11" s="30">
        <f t="shared" si="0"/>
        <v>22000</v>
      </c>
      <c r="H11" s="30">
        <v>0</v>
      </c>
      <c r="I11" s="30">
        <v>0</v>
      </c>
      <c r="J11" s="30">
        <f t="shared" si="3"/>
        <v>33000</v>
      </c>
      <c r="K11" s="30">
        <f t="shared" si="10"/>
        <v>0</v>
      </c>
      <c r="L11" s="30">
        <f t="shared" si="10"/>
        <v>0</v>
      </c>
      <c r="M11" s="30">
        <f t="shared" si="8"/>
        <v>44000</v>
      </c>
      <c r="N11" s="30">
        <f t="shared" si="8"/>
        <v>0</v>
      </c>
      <c r="O11" s="30">
        <f t="shared" si="8"/>
        <v>0</v>
      </c>
      <c r="P11" s="30">
        <f t="shared" si="11"/>
        <v>55000</v>
      </c>
      <c r="Q11" s="30">
        <f t="shared" si="11"/>
        <v>0</v>
      </c>
      <c r="R11" s="30">
        <f t="shared" si="11"/>
        <v>0</v>
      </c>
      <c r="S11" s="30">
        <f t="shared" si="9"/>
        <v>66000</v>
      </c>
      <c r="T11" s="30">
        <f t="shared" si="9"/>
        <v>0</v>
      </c>
      <c r="U11" s="30">
        <f t="shared" si="9"/>
        <v>0</v>
      </c>
      <c r="V11" s="30">
        <f>D11*7</f>
        <v>77000</v>
      </c>
    </row>
    <row r="12" spans="1:35" s="30" customFormat="1">
      <c r="A12" s="29" t="s">
        <v>125</v>
      </c>
      <c r="B12" s="30">
        <v>0</v>
      </c>
      <c r="C12" s="30">
        <v>0</v>
      </c>
      <c r="D12" s="30">
        <v>11650</v>
      </c>
      <c r="E12" s="30">
        <v>0</v>
      </c>
      <c r="F12" s="30">
        <v>0</v>
      </c>
      <c r="G12" s="30">
        <f t="shared" si="0"/>
        <v>23300</v>
      </c>
      <c r="H12" s="30">
        <v>0</v>
      </c>
      <c r="I12" s="30">
        <v>0</v>
      </c>
      <c r="J12" s="30">
        <f t="shared" si="3"/>
        <v>34950</v>
      </c>
      <c r="K12" s="30">
        <f t="shared" si="10"/>
        <v>0</v>
      </c>
      <c r="L12" s="30">
        <f t="shared" si="10"/>
        <v>0</v>
      </c>
      <c r="M12" s="30">
        <f t="shared" si="8"/>
        <v>46600</v>
      </c>
      <c r="N12" s="30">
        <f t="shared" si="8"/>
        <v>0</v>
      </c>
      <c r="O12" s="30">
        <f t="shared" si="8"/>
        <v>0</v>
      </c>
      <c r="P12" s="30">
        <f t="shared" si="11"/>
        <v>58250</v>
      </c>
      <c r="Q12" s="30">
        <f t="shared" si="11"/>
        <v>0</v>
      </c>
      <c r="R12" s="30">
        <f t="shared" si="11"/>
        <v>0</v>
      </c>
      <c r="S12" s="30">
        <f t="shared" si="9"/>
        <v>69900</v>
      </c>
      <c r="T12" s="30">
        <f t="shared" si="9"/>
        <v>0</v>
      </c>
      <c r="U12" s="30">
        <f t="shared" si="9"/>
        <v>0</v>
      </c>
      <c r="V12" s="30">
        <f>D12*7</f>
        <v>81550</v>
      </c>
    </row>
    <row r="13" spans="1:35" s="30" customFormat="1">
      <c r="A13" s="29" t="s">
        <v>32</v>
      </c>
      <c r="B13" s="30">
        <v>0</v>
      </c>
      <c r="C13" s="30">
        <v>0</v>
      </c>
      <c r="D13" s="30">
        <v>16000</v>
      </c>
      <c r="E13" s="30">
        <v>0</v>
      </c>
      <c r="F13" s="30">
        <v>0</v>
      </c>
      <c r="G13" s="30">
        <f t="shared" si="0"/>
        <v>32000</v>
      </c>
      <c r="H13" s="30">
        <f t="shared" ref="H13:I13" si="12">E13*2</f>
        <v>0</v>
      </c>
      <c r="I13" s="30">
        <f t="shared" si="12"/>
        <v>0</v>
      </c>
      <c r="J13" s="30">
        <f t="shared" si="3"/>
        <v>48000</v>
      </c>
      <c r="K13" s="30">
        <f t="shared" si="10"/>
        <v>0</v>
      </c>
      <c r="L13" s="30">
        <f t="shared" si="10"/>
        <v>0</v>
      </c>
      <c r="M13" s="30">
        <f t="shared" si="8"/>
        <v>64000</v>
      </c>
      <c r="N13" s="30">
        <f t="shared" si="8"/>
        <v>0</v>
      </c>
      <c r="O13" s="30">
        <f t="shared" si="8"/>
        <v>0</v>
      </c>
      <c r="P13" s="30">
        <f t="shared" si="11"/>
        <v>80000</v>
      </c>
      <c r="Q13" s="30">
        <f t="shared" si="11"/>
        <v>0</v>
      </c>
      <c r="R13" s="30">
        <f t="shared" si="11"/>
        <v>0</v>
      </c>
      <c r="S13" s="30">
        <f t="shared" si="9"/>
        <v>96000</v>
      </c>
      <c r="T13" s="30">
        <f t="shared" si="9"/>
        <v>0</v>
      </c>
      <c r="U13" s="30">
        <f t="shared" si="9"/>
        <v>0</v>
      </c>
      <c r="V13" s="30">
        <f>D13*7</f>
        <v>112000</v>
      </c>
    </row>
    <row r="14" spans="1:35" s="30" customFormat="1">
      <c r="A14" s="29" t="s">
        <v>31</v>
      </c>
      <c r="B14" s="30">
        <v>0</v>
      </c>
      <c r="C14" s="30">
        <v>0</v>
      </c>
      <c r="D14" s="30">
        <v>13000</v>
      </c>
      <c r="E14" s="30">
        <v>0</v>
      </c>
      <c r="F14" s="30">
        <v>0</v>
      </c>
      <c r="G14" s="30">
        <f t="shared" si="0"/>
        <v>26000</v>
      </c>
      <c r="H14" s="30">
        <v>0</v>
      </c>
      <c r="I14" s="30">
        <v>0</v>
      </c>
      <c r="J14" s="30">
        <f>D14*3</f>
        <v>39000</v>
      </c>
      <c r="K14" s="30">
        <f t="shared" ref="K14:L14" si="13">E14*3</f>
        <v>0</v>
      </c>
      <c r="L14" s="30">
        <f t="shared" si="13"/>
        <v>0</v>
      </c>
      <c r="M14" s="30">
        <f t="shared" si="4"/>
        <v>52000</v>
      </c>
      <c r="N14" s="30">
        <f t="shared" si="4"/>
        <v>0</v>
      </c>
      <c r="O14" s="30">
        <f t="shared" si="4"/>
        <v>0</v>
      </c>
      <c r="P14" s="30">
        <f t="shared" si="5"/>
        <v>65000</v>
      </c>
      <c r="Q14" s="30">
        <f t="shared" si="5"/>
        <v>0</v>
      </c>
      <c r="R14" s="30">
        <f t="shared" si="5"/>
        <v>0</v>
      </c>
      <c r="S14" s="30">
        <f t="shared" si="6"/>
        <v>78000</v>
      </c>
      <c r="T14" s="30">
        <f t="shared" si="6"/>
        <v>0</v>
      </c>
      <c r="U14" s="30">
        <f t="shared" si="6"/>
        <v>0</v>
      </c>
      <c r="V14" s="30">
        <f t="shared" si="7"/>
        <v>91000</v>
      </c>
    </row>
    <row r="15" spans="1:35" s="30" customFormat="1">
      <c r="A15" s="29" t="s">
        <v>120</v>
      </c>
      <c r="B15" s="30">
        <v>0</v>
      </c>
      <c r="C15" s="30">
        <v>22000</v>
      </c>
      <c r="D15" s="30">
        <v>0</v>
      </c>
      <c r="E15" s="30">
        <f t="shared" ref="E15:F20" si="14">C15*2</f>
        <v>44000</v>
      </c>
      <c r="F15" s="30">
        <f t="shared" si="14"/>
        <v>0</v>
      </c>
      <c r="G15" s="30">
        <f t="shared" ref="G15:H20" si="15">C15*3</f>
        <v>66000</v>
      </c>
      <c r="H15" s="30">
        <f t="shared" si="15"/>
        <v>0</v>
      </c>
      <c r="I15" s="30">
        <f t="shared" ref="I15:J20" si="16">C15*4</f>
        <v>88000</v>
      </c>
      <c r="J15" s="30">
        <f t="shared" si="16"/>
        <v>0</v>
      </c>
      <c r="K15" s="30">
        <f t="shared" ref="K15:L20" si="17">C15*5</f>
        <v>110000</v>
      </c>
      <c r="L15" s="30">
        <f t="shared" si="17"/>
        <v>0</v>
      </c>
      <c r="M15" s="30">
        <f t="shared" ref="M15:N20" si="18">C15*6</f>
        <v>132000</v>
      </c>
      <c r="N15" s="30">
        <f t="shared" si="18"/>
        <v>0</v>
      </c>
      <c r="O15" s="30">
        <f t="shared" ref="O15:P20" si="19">C15*7</f>
        <v>154000</v>
      </c>
      <c r="P15" s="30">
        <f t="shared" si="19"/>
        <v>0</v>
      </c>
      <c r="Q15" s="30">
        <f t="shared" ref="Q15:R20" si="20">C15*8</f>
        <v>176000</v>
      </c>
      <c r="R15" s="30">
        <f t="shared" si="20"/>
        <v>0</v>
      </c>
      <c r="S15" s="30">
        <f t="shared" ref="S15:T20" si="21">C15*9</f>
        <v>198000</v>
      </c>
      <c r="T15" s="30">
        <f t="shared" si="21"/>
        <v>0</v>
      </c>
      <c r="U15" s="30">
        <f t="shared" ref="U15:V20" si="22">C15*10</f>
        <v>220000</v>
      </c>
      <c r="V15" s="30">
        <f t="shared" si="22"/>
        <v>0</v>
      </c>
    </row>
    <row r="16" spans="1:35" s="30" customFormat="1">
      <c r="A16" s="29" t="s">
        <v>119</v>
      </c>
      <c r="B16" s="30">
        <v>0</v>
      </c>
      <c r="C16" s="30">
        <v>22000</v>
      </c>
      <c r="D16" s="30">
        <v>0</v>
      </c>
      <c r="E16" s="30">
        <f t="shared" si="14"/>
        <v>44000</v>
      </c>
      <c r="F16" s="30">
        <f t="shared" si="14"/>
        <v>0</v>
      </c>
      <c r="G16" s="30">
        <f>C16*3</f>
        <v>66000</v>
      </c>
      <c r="H16" s="30">
        <f>D16*3</f>
        <v>0</v>
      </c>
      <c r="I16" s="30">
        <f t="shared" si="16"/>
        <v>88000</v>
      </c>
      <c r="J16" s="30">
        <f t="shared" si="16"/>
        <v>0</v>
      </c>
      <c r="K16" s="30">
        <f t="shared" si="17"/>
        <v>110000</v>
      </c>
      <c r="L16" s="30">
        <f t="shared" si="17"/>
        <v>0</v>
      </c>
      <c r="M16" s="30">
        <f t="shared" si="18"/>
        <v>132000</v>
      </c>
      <c r="N16" s="30">
        <f t="shared" si="18"/>
        <v>0</v>
      </c>
      <c r="O16" s="30">
        <f t="shared" si="19"/>
        <v>154000</v>
      </c>
      <c r="P16" s="30">
        <f t="shared" si="19"/>
        <v>0</v>
      </c>
      <c r="Q16" s="30">
        <f t="shared" si="20"/>
        <v>176000</v>
      </c>
      <c r="R16" s="30">
        <f t="shared" si="20"/>
        <v>0</v>
      </c>
      <c r="S16" s="30">
        <f t="shared" si="21"/>
        <v>198000</v>
      </c>
      <c r="T16" s="30">
        <f t="shared" si="21"/>
        <v>0</v>
      </c>
      <c r="U16" s="30">
        <f t="shared" si="22"/>
        <v>220000</v>
      </c>
      <c r="V16" s="30">
        <f t="shared" si="22"/>
        <v>0</v>
      </c>
    </row>
    <row r="17" spans="1:22" s="30" customFormat="1">
      <c r="A17" s="29" t="s">
        <v>122</v>
      </c>
      <c r="B17" s="30">
        <v>0</v>
      </c>
      <c r="C17" s="30">
        <v>18000</v>
      </c>
      <c r="D17" s="30">
        <v>0</v>
      </c>
      <c r="E17" s="30">
        <f t="shared" si="14"/>
        <v>36000</v>
      </c>
      <c r="F17" s="30">
        <f t="shared" si="14"/>
        <v>0</v>
      </c>
      <c r="G17" s="30">
        <f t="shared" si="15"/>
        <v>54000</v>
      </c>
      <c r="H17" s="30">
        <f t="shared" si="15"/>
        <v>0</v>
      </c>
      <c r="I17" s="30">
        <f t="shared" si="16"/>
        <v>72000</v>
      </c>
      <c r="J17" s="30">
        <f t="shared" si="16"/>
        <v>0</v>
      </c>
      <c r="K17" s="30">
        <f t="shared" si="17"/>
        <v>90000</v>
      </c>
      <c r="L17" s="30">
        <f t="shared" si="17"/>
        <v>0</v>
      </c>
      <c r="M17" s="30">
        <f t="shared" si="18"/>
        <v>108000</v>
      </c>
      <c r="N17" s="30">
        <f t="shared" si="18"/>
        <v>0</v>
      </c>
      <c r="O17" s="30">
        <f t="shared" si="19"/>
        <v>126000</v>
      </c>
      <c r="P17" s="30">
        <f t="shared" si="19"/>
        <v>0</v>
      </c>
      <c r="Q17" s="30">
        <f t="shared" si="20"/>
        <v>144000</v>
      </c>
      <c r="R17" s="30">
        <f t="shared" si="20"/>
        <v>0</v>
      </c>
      <c r="S17" s="30">
        <f t="shared" si="21"/>
        <v>162000</v>
      </c>
      <c r="T17" s="30">
        <f t="shared" si="21"/>
        <v>0</v>
      </c>
      <c r="U17" s="30">
        <f t="shared" si="22"/>
        <v>180000</v>
      </c>
      <c r="V17" s="30">
        <f t="shared" si="22"/>
        <v>0</v>
      </c>
    </row>
    <row r="18" spans="1:22" s="30" customFormat="1">
      <c r="A18" s="29" t="s">
        <v>121</v>
      </c>
      <c r="B18" s="30">
        <v>0</v>
      </c>
      <c r="C18" s="30">
        <v>18000</v>
      </c>
      <c r="D18" s="30">
        <v>0</v>
      </c>
      <c r="E18" s="30">
        <f t="shared" si="14"/>
        <v>36000</v>
      </c>
      <c r="F18" s="30">
        <f t="shared" si="14"/>
        <v>0</v>
      </c>
      <c r="G18" s="30">
        <f t="shared" si="15"/>
        <v>54000</v>
      </c>
      <c r="H18" s="30">
        <f t="shared" si="15"/>
        <v>0</v>
      </c>
      <c r="I18" s="30">
        <f t="shared" si="16"/>
        <v>72000</v>
      </c>
      <c r="J18" s="30">
        <f t="shared" si="16"/>
        <v>0</v>
      </c>
      <c r="K18" s="30">
        <f t="shared" si="17"/>
        <v>90000</v>
      </c>
      <c r="L18" s="30">
        <f t="shared" si="17"/>
        <v>0</v>
      </c>
      <c r="M18" s="30">
        <f t="shared" si="18"/>
        <v>108000</v>
      </c>
      <c r="N18" s="30">
        <f t="shared" si="18"/>
        <v>0</v>
      </c>
      <c r="O18" s="30">
        <f t="shared" si="19"/>
        <v>126000</v>
      </c>
      <c r="P18" s="30">
        <f t="shared" si="19"/>
        <v>0</v>
      </c>
      <c r="Q18" s="30">
        <f t="shared" si="20"/>
        <v>144000</v>
      </c>
      <c r="R18" s="30">
        <f t="shared" si="20"/>
        <v>0</v>
      </c>
      <c r="S18" s="30">
        <f t="shared" si="21"/>
        <v>162000</v>
      </c>
      <c r="T18" s="30">
        <f t="shared" si="21"/>
        <v>0</v>
      </c>
      <c r="U18" s="30">
        <f t="shared" si="22"/>
        <v>180000</v>
      </c>
      <c r="V18" s="30">
        <f t="shared" si="22"/>
        <v>0</v>
      </c>
    </row>
    <row r="19" spans="1:22" s="30" customFormat="1">
      <c r="A19" s="29" t="s">
        <v>118</v>
      </c>
      <c r="B19" s="30">
        <v>0</v>
      </c>
      <c r="C19" s="30">
        <v>22000</v>
      </c>
      <c r="D19" s="30">
        <v>0</v>
      </c>
      <c r="E19" s="30">
        <f t="shared" si="14"/>
        <v>44000</v>
      </c>
      <c r="F19" s="30">
        <f t="shared" si="14"/>
        <v>0</v>
      </c>
      <c r="G19" s="30">
        <f t="shared" si="15"/>
        <v>66000</v>
      </c>
      <c r="H19" s="30">
        <f t="shared" si="15"/>
        <v>0</v>
      </c>
      <c r="I19" s="30">
        <f t="shared" si="16"/>
        <v>88000</v>
      </c>
      <c r="J19" s="30">
        <f t="shared" si="16"/>
        <v>0</v>
      </c>
      <c r="K19" s="30">
        <f t="shared" si="17"/>
        <v>110000</v>
      </c>
      <c r="L19" s="30">
        <f t="shared" si="17"/>
        <v>0</v>
      </c>
      <c r="M19" s="30">
        <f t="shared" si="18"/>
        <v>132000</v>
      </c>
      <c r="N19" s="30">
        <f t="shared" si="18"/>
        <v>0</v>
      </c>
      <c r="O19" s="30">
        <f t="shared" si="19"/>
        <v>154000</v>
      </c>
      <c r="P19" s="30">
        <f t="shared" si="19"/>
        <v>0</v>
      </c>
      <c r="Q19" s="30">
        <f t="shared" si="20"/>
        <v>176000</v>
      </c>
      <c r="R19" s="30">
        <f t="shared" si="20"/>
        <v>0</v>
      </c>
      <c r="S19" s="30">
        <f t="shared" si="21"/>
        <v>198000</v>
      </c>
      <c r="T19" s="30">
        <f t="shared" si="21"/>
        <v>0</v>
      </c>
      <c r="U19" s="30">
        <f t="shared" si="22"/>
        <v>220000</v>
      </c>
      <c r="V19" s="30">
        <f t="shared" si="22"/>
        <v>0</v>
      </c>
    </row>
    <row r="20" spans="1:22" s="30" customFormat="1" ht="24" customHeight="1">
      <c r="A20" s="29" t="s">
        <v>123</v>
      </c>
      <c r="B20" s="30">
        <v>0</v>
      </c>
      <c r="C20" s="30">
        <v>22000</v>
      </c>
      <c r="D20" s="30">
        <v>0</v>
      </c>
      <c r="E20" s="30">
        <f t="shared" si="14"/>
        <v>44000</v>
      </c>
      <c r="F20" s="30">
        <f t="shared" si="14"/>
        <v>0</v>
      </c>
      <c r="G20" s="30">
        <f t="shared" si="15"/>
        <v>66000</v>
      </c>
      <c r="H20" s="30">
        <f t="shared" si="15"/>
        <v>0</v>
      </c>
      <c r="I20" s="30">
        <f t="shared" si="16"/>
        <v>88000</v>
      </c>
      <c r="J20" s="30">
        <f t="shared" si="16"/>
        <v>0</v>
      </c>
      <c r="K20" s="30">
        <f t="shared" si="17"/>
        <v>110000</v>
      </c>
      <c r="L20" s="30">
        <f t="shared" si="17"/>
        <v>0</v>
      </c>
      <c r="M20" s="30">
        <f t="shared" si="18"/>
        <v>132000</v>
      </c>
      <c r="N20" s="30">
        <f t="shared" si="18"/>
        <v>0</v>
      </c>
      <c r="O20" s="30">
        <f t="shared" si="19"/>
        <v>154000</v>
      </c>
      <c r="P20" s="30">
        <f t="shared" si="19"/>
        <v>0</v>
      </c>
      <c r="Q20" s="30">
        <f t="shared" si="20"/>
        <v>176000</v>
      </c>
      <c r="R20" s="30">
        <f t="shared" si="20"/>
        <v>0</v>
      </c>
      <c r="S20" s="30">
        <f t="shared" si="21"/>
        <v>198000</v>
      </c>
      <c r="T20" s="30">
        <f t="shared" si="21"/>
        <v>0</v>
      </c>
      <c r="U20" s="30">
        <f t="shared" si="22"/>
        <v>220000</v>
      </c>
      <c r="V20" s="30">
        <f t="shared" si="22"/>
        <v>0</v>
      </c>
    </row>
    <row r="21" spans="1:22" s="30" customFormat="1" ht="24" customHeight="1"/>
  </sheetData>
  <mergeCells count="1">
    <mergeCell ref="B4:AI4"/>
  </mergeCells>
  <phoneticPr fontId="3" type="noConversion"/>
  <pageMargins left="0.7" right="0.7" top="0.75" bottom="0.75" header="0.3" footer="0.3"/>
  <pageSetup paperSize="9"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3EA6F7-9263-45E0-8BD4-2CFB24757FFA}">
  <dimension ref="A2:CZ24"/>
  <sheetViews>
    <sheetView topLeftCell="V1" zoomScale="77" zoomScaleNormal="100" workbookViewId="0">
      <selection activeCell="AD5" sqref="AD5"/>
    </sheetView>
  </sheetViews>
  <sheetFormatPr defaultColWidth="13.6640625" defaultRowHeight="24.6"/>
  <cols>
    <col min="1" max="1" width="28.77734375" style="6" customWidth="1"/>
    <col min="2" max="2" width="9.44140625" style="6" customWidth="1"/>
    <col min="3" max="24" width="9" style="23" customWidth="1"/>
    <col min="25" max="26" width="9" style="22" customWidth="1"/>
    <col min="27" max="54" width="9" style="23" customWidth="1"/>
    <col min="55" max="55" width="9" style="6" customWidth="1"/>
    <col min="56" max="56" width="12.21875" style="6" customWidth="1"/>
    <col min="57" max="57" width="9" style="6" customWidth="1"/>
    <col min="58" max="58" width="12.44140625" style="6" customWidth="1"/>
    <col min="59" max="59" width="9" style="6" customWidth="1"/>
    <col min="60" max="60" width="12.33203125" style="6" customWidth="1"/>
    <col min="61" max="61" width="12" style="6" customWidth="1"/>
    <col min="62" max="62" width="11.44140625" style="6" customWidth="1"/>
    <col min="63" max="74" width="10.6640625" style="6" customWidth="1"/>
    <col min="75" max="16384" width="13.6640625" style="6"/>
  </cols>
  <sheetData>
    <row r="2" spans="1:104">
      <c r="A2" s="5"/>
      <c r="B2" s="5"/>
      <c r="C2" s="67" t="s">
        <v>25</v>
      </c>
      <c r="D2" s="67"/>
      <c r="E2" s="67"/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BL2" s="36"/>
      <c r="BM2" s="36"/>
      <c r="BN2" s="36"/>
      <c r="BO2" s="36"/>
      <c r="BP2" s="36"/>
      <c r="BQ2" s="36"/>
      <c r="BR2" s="36"/>
      <c r="BS2" s="36"/>
      <c r="BT2" s="36"/>
      <c r="BU2" s="36"/>
      <c r="BV2" s="36"/>
      <c r="BW2" s="36"/>
      <c r="BX2" s="36"/>
      <c r="BY2" s="36"/>
      <c r="BZ2" s="36"/>
      <c r="CA2" s="36"/>
      <c r="CB2" s="36"/>
      <c r="CC2" s="36"/>
      <c r="CD2" s="36"/>
    </row>
    <row r="3" spans="1:104">
      <c r="A3" s="5"/>
      <c r="B3" s="5" t="s">
        <v>143</v>
      </c>
      <c r="C3" s="5" t="s">
        <v>38</v>
      </c>
      <c r="D3" s="5" t="s">
        <v>34</v>
      </c>
      <c r="E3" s="5" t="s">
        <v>39</v>
      </c>
      <c r="F3" s="5" t="s">
        <v>34</v>
      </c>
      <c r="G3" s="5" t="s">
        <v>68</v>
      </c>
      <c r="H3" s="5" t="s">
        <v>34</v>
      </c>
      <c r="I3" s="5" t="s">
        <v>69</v>
      </c>
      <c r="J3" s="5" t="s">
        <v>34</v>
      </c>
      <c r="K3" s="5" t="s">
        <v>70</v>
      </c>
      <c r="L3" s="5" t="s">
        <v>34</v>
      </c>
      <c r="M3" s="5" t="s">
        <v>71</v>
      </c>
      <c r="N3" s="5" t="s">
        <v>34</v>
      </c>
      <c r="O3" s="5" t="s">
        <v>72</v>
      </c>
      <c r="P3" s="5" t="s">
        <v>34</v>
      </c>
      <c r="Q3" s="5" t="s">
        <v>73</v>
      </c>
      <c r="R3" s="5" t="s">
        <v>34</v>
      </c>
      <c r="S3" s="5" t="s">
        <v>74</v>
      </c>
      <c r="T3" s="5" t="s">
        <v>34</v>
      </c>
      <c r="U3" s="5" t="s">
        <v>75</v>
      </c>
      <c r="V3" s="5" t="s">
        <v>34</v>
      </c>
      <c r="W3" s="5" t="s">
        <v>76</v>
      </c>
      <c r="X3" s="5" t="s">
        <v>34</v>
      </c>
      <c r="Y3" s="24" t="s">
        <v>77</v>
      </c>
      <c r="Z3" s="24" t="s">
        <v>34</v>
      </c>
      <c r="AA3" s="24" t="s">
        <v>78</v>
      </c>
      <c r="AB3" s="24" t="s">
        <v>34</v>
      </c>
      <c r="AC3" s="24" t="s">
        <v>79</v>
      </c>
      <c r="AD3" s="24" t="s">
        <v>34</v>
      </c>
      <c r="AE3" s="24" t="s">
        <v>80</v>
      </c>
      <c r="AF3" s="24" t="s">
        <v>34</v>
      </c>
      <c r="AG3" s="24" t="s">
        <v>81</v>
      </c>
      <c r="AH3" s="24" t="s">
        <v>34</v>
      </c>
      <c r="AI3" s="24" t="s">
        <v>82</v>
      </c>
      <c r="AJ3" s="24" t="s">
        <v>34</v>
      </c>
      <c r="AK3" s="24" t="s">
        <v>83</v>
      </c>
      <c r="AL3" s="24" t="s">
        <v>34</v>
      </c>
      <c r="AM3" s="24" t="s">
        <v>84</v>
      </c>
      <c r="AN3" s="24" t="s">
        <v>34</v>
      </c>
      <c r="AO3" s="24" t="s">
        <v>85</v>
      </c>
      <c r="AP3" s="24" t="s">
        <v>34</v>
      </c>
      <c r="AQ3" s="24" t="s">
        <v>86</v>
      </c>
      <c r="AR3" s="24" t="s">
        <v>34</v>
      </c>
      <c r="AS3" s="24" t="s">
        <v>87</v>
      </c>
      <c r="AT3" s="24" t="s">
        <v>34</v>
      </c>
      <c r="AU3" s="24" t="s">
        <v>88</v>
      </c>
      <c r="AV3" s="24" t="s">
        <v>34</v>
      </c>
      <c r="AW3" s="24" t="s">
        <v>89</v>
      </c>
      <c r="AX3" s="24" t="s">
        <v>34</v>
      </c>
      <c r="AY3" s="24" t="s">
        <v>90</v>
      </c>
      <c r="AZ3" s="24" t="s">
        <v>34</v>
      </c>
      <c r="BA3" s="24" t="s">
        <v>91</v>
      </c>
      <c r="BB3" s="24" t="s">
        <v>34</v>
      </c>
      <c r="BC3" s="24" t="s">
        <v>92</v>
      </c>
      <c r="BD3" s="24" t="s">
        <v>34</v>
      </c>
      <c r="BE3" s="24" t="s">
        <v>93</v>
      </c>
      <c r="BF3" s="24" t="s">
        <v>34</v>
      </c>
      <c r="BG3" s="24" t="s">
        <v>94</v>
      </c>
      <c r="BH3" s="24" t="s">
        <v>34</v>
      </c>
      <c r="BI3" s="24" t="s">
        <v>95</v>
      </c>
      <c r="BJ3" s="24" t="s">
        <v>34</v>
      </c>
      <c r="BK3" s="24" t="s">
        <v>130</v>
      </c>
      <c r="BL3" s="32" t="s">
        <v>34</v>
      </c>
      <c r="BM3" s="32" t="s">
        <v>131</v>
      </c>
      <c r="BN3" s="32" t="s">
        <v>34</v>
      </c>
      <c r="BO3" s="32" t="s">
        <v>132</v>
      </c>
      <c r="BP3" s="32" t="s">
        <v>34</v>
      </c>
      <c r="BQ3" s="32" t="s">
        <v>133</v>
      </c>
      <c r="BR3" s="32" t="s">
        <v>34</v>
      </c>
      <c r="BS3" s="32" t="s">
        <v>134</v>
      </c>
      <c r="BT3" s="32" t="s">
        <v>34</v>
      </c>
      <c r="BU3" s="32" t="s">
        <v>135</v>
      </c>
      <c r="BV3" s="32" t="s">
        <v>34</v>
      </c>
      <c r="BW3" s="32" t="s">
        <v>136</v>
      </c>
      <c r="BX3" s="32" t="s">
        <v>34</v>
      </c>
      <c r="BY3" s="32" t="s">
        <v>137</v>
      </c>
      <c r="BZ3" s="32" t="s">
        <v>34</v>
      </c>
      <c r="CA3" s="32" t="s">
        <v>138</v>
      </c>
      <c r="CB3" s="32" t="s">
        <v>34</v>
      </c>
      <c r="CC3" s="32" t="s">
        <v>139</v>
      </c>
      <c r="CD3" s="32" t="s">
        <v>34</v>
      </c>
      <c r="CE3" s="5" t="s">
        <v>144</v>
      </c>
      <c r="CF3" s="5" t="s">
        <v>34</v>
      </c>
      <c r="CG3" s="5" t="s">
        <v>145</v>
      </c>
      <c r="CH3" s="5" t="s">
        <v>34</v>
      </c>
      <c r="CI3" s="5" t="s">
        <v>146</v>
      </c>
      <c r="CJ3" s="5" t="s">
        <v>34</v>
      </c>
      <c r="CK3" s="5" t="s">
        <v>147</v>
      </c>
      <c r="CL3" s="5" t="s">
        <v>34</v>
      </c>
      <c r="CM3" s="5" t="s">
        <v>148</v>
      </c>
      <c r="CN3" s="5" t="s">
        <v>34</v>
      </c>
      <c r="CO3" s="5" t="s">
        <v>149</v>
      </c>
      <c r="CP3" s="5" t="s">
        <v>34</v>
      </c>
      <c r="CQ3" s="5" t="s">
        <v>150</v>
      </c>
      <c r="CR3" s="5" t="s">
        <v>34</v>
      </c>
      <c r="CS3" s="5" t="s">
        <v>151</v>
      </c>
      <c r="CT3" s="5" t="s">
        <v>34</v>
      </c>
      <c r="CU3" s="5"/>
      <c r="CV3" s="5"/>
      <c r="CW3" s="5"/>
      <c r="CX3" s="5"/>
      <c r="CY3" s="5"/>
      <c r="CZ3" s="5"/>
    </row>
    <row r="4" spans="1:104">
      <c r="A4" s="5" t="s">
        <v>0</v>
      </c>
      <c r="B4" s="5"/>
      <c r="C4" s="33"/>
      <c r="D4" s="33"/>
      <c r="E4" s="33"/>
      <c r="F4" s="33"/>
      <c r="G4" s="25"/>
      <c r="H4" s="33"/>
      <c r="I4" s="33"/>
      <c r="J4" s="33"/>
      <c r="K4" s="22"/>
      <c r="L4" s="22"/>
      <c r="M4" s="33"/>
      <c r="N4" s="33"/>
      <c r="O4" s="22"/>
      <c r="P4" s="22"/>
      <c r="Q4" s="22"/>
      <c r="R4" s="22"/>
      <c r="S4" s="22"/>
      <c r="T4" s="22"/>
      <c r="U4" s="33"/>
      <c r="V4" s="33"/>
      <c r="W4" s="33"/>
      <c r="X4" s="22"/>
      <c r="Y4" s="33"/>
      <c r="Z4" s="33"/>
      <c r="AA4" s="22"/>
      <c r="AB4" s="22"/>
      <c r="AC4" s="33"/>
      <c r="AD4" s="33"/>
      <c r="AE4" s="22"/>
      <c r="AF4" s="22"/>
      <c r="AG4" s="22"/>
      <c r="AH4" s="22"/>
      <c r="AI4" s="22"/>
      <c r="AJ4" s="22"/>
      <c r="AK4" s="22"/>
      <c r="AL4" s="22"/>
      <c r="AM4" s="22"/>
      <c r="AN4" s="22"/>
      <c r="AO4" s="33"/>
      <c r="AP4" s="33"/>
      <c r="AQ4" s="22"/>
      <c r="AR4" s="22"/>
      <c r="AS4" s="33"/>
      <c r="AT4" s="33"/>
      <c r="AU4" s="22"/>
      <c r="AV4" s="22"/>
      <c r="AW4" s="22"/>
      <c r="AX4" s="22"/>
      <c r="AY4" s="22"/>
      <c r="AZ4" s="33"/>
      <c r="BA4" s="33"/>
      <c r="BB4" s="33"/>
      <c r="BC4" s="5"/>
      <c r="BD4" s="34"/>
      <c r="BE4" s="34"/>
      <c r="BF4" s="34"/>
      <c r="BG4" s="34"/>
      <c r="BH4" s="34"/>
      <c r="BI4" s="34"/>
      <c r="BJ4" s="34"/>
      <c r="BK4" s="34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  <c r="CI4" s="5"/>
      <c r="CJ4" s="5"/>
      <c r="CK4" s="5"/>
      <c r="CL4" s="5"/>
      <c r="CM4" s="5"/>
      <c r="CN4" s="5"/>
      <c r="CO4" s="5"/>
      <c r="CP4" s="5"/>
      <c r="CQ4" s="5"/>
      <c r="CR4" s="5"/>
      <c r="CS4" s="5"/>
      <c r="CT4" s="5"/>
      <c r="CU4" s="5"/>
      <c r="CV4" s="5"/>
      <c r="CW4" s="5"/>
      <c r="CX4" s="5"/>
      <c r="CY4" s="5"/>
      <c r="CZ4" s="5"/>
    </row>
    <row r="5" spans="1:104">
      <c r="A5" s="5" t="s">
        <v>126</v>
      </c>
      <c r="B5" s="5">
        <v>0</v>
      </c>
      <c r="C5" s="33">
        <v>3000</v>
      </c>
      <c r="D5" s="33">
        <f>B5+C5</f>
        <v>3000</v>
      </c>
      <c r="E5" s="33">
        <v>3000</v>
      </c>
      <c r="F5" s="33">
        <f t="shared" ref="F5" si="0">E5+D5</f>
        <v>6000</v>
      </c>
      <c r="G5" s="33">
        <v>3000</v>
      </c>
      <c r="H5" s="33">
        <f t="shared" ref="H5" si="1">G5+F5</f>
        <v>9000</v>
      </c>
      <c r="I5" s="33">
        <v>3000</v>
      </c>
      <c r="J5" s="33">
        <f>I5+H5</f>
        <v>12000</v>
      </c>
      <c r="K5" s="22">
        <v>3000</v>
      </c>
      <c r="L5" s="22">
        <f>K5+J5</f>
        <v>15000</v>
      </c>
      <c r="M5" s="33">
        <v>5000</v>
      </c>
      <c r="N5" s="33">
        <f>M5+L5</f>
        <v>20000</v>
      </c>
      <c r="O5" s="22">
        <v>6750</v>
      </c>
      <c r="P5" s="22">
        <f>O5+N5</f>
        <v>26750</v>
      </c>
      <c r="Q5" s="33">
        <v>5000</v>
      </c>
      <c r="R5" s="33">
        <f>Q5+P5</f>
        <v>31750</v>
      </c>
      <c r="S5" s="22">
        <v>6750</v>
      </c>
      <c r="T5" s="22">
        <f>S5+R5</f>
        <v>38500</v>
      </c>
      <c r="U5" s="33">
        <v>6000</v>
      </c>
      <c r="V5" s="33">
        <f>U5+T5</f>
        <v>44500</v>
      </c>
      <c r="W5" s="33">
        <v>4000</v>
      </c>
      <c r="X5" s="22">
        <f>W5+V5</f>
        <v>48500</v>
      </c>
      <c r="Y5" s="33">
        <v>9000</v>
      </c>
      <c r="Z5" s="33">
        <f>Y5+X5</f>
        <v>57500</v>
      </c>
      <c r="AA5" s="22">
        <v>3000</v>
      </c>
      <c r="AB5" s="22">
        <f>AA5+Z5</f>
        <v>60500</v>
      </c>
      <c r="AC5" s="33">
        <v>3000</v>
      </c>
      <c r="AD5" s="33">
        <f>AC5+AB5</f>
        <v>63500</v>
      </c>
      <c r="AE5" s="22">
        <v>3000</v>
      </c>
      <c r="AF5" s="22">
        <f>AE5+AD5</f>
        <v>66500</v>
      </c>
      <c r="AG5" s="33">
        <v>3000</v>
      </c>
      <c r="AH5" s="33">
        <f>AG5+AF5</f>
        <v>69500</v>
      </c>
      <c r="AI5" s="22">
        <v>3000</v>
      </c>
      <c r="AJ5" s="22">
        <f>AI5+AH5</f>
        <v>72500</v>
      </c>
      <c r="AK5" s="22">
        <v>5000</v>
      </c>
      <c r="AL5" s="33">
        <f>AK5+AJ5</f>
        <v>77500</v>
      </c>
      <c r="AM5" s="22">
        <v>6750</v>
      </c>
      <c r="AN5" s="22">
        <f>AM5+AL5</f>
        <v>84250</v>
      </c>
      <c r="AO5" s="33">
        <v>5000</v>
      </c>
      <c r="AP5" s="33">
        <f>AO5+AN5</f>
        <v>89250</v>
      </c>
      <c r="AQ5" s="22">
        <v>6750</v>
      </c>
      <c r="AR5" s="22">
        <f>AQ5+AP5</f>
        <v>96000</v>
      </c>
      <c r="AS5" s="33">
        <v>6000</v>
      </c>
      <c r="AT5" s="33">
        <f>AS5+AR5</f>
        <v>102000</v>
      </c>
      <c r="AU5" s="22">
        <v>4000</v>
      </c>
      <c r="AV5" s="22">
        <f>AU5+AT5</f>
        <v>106000</v>
      </c>
      <c r="AW5" s="33">
        <v>9000</v>
      </c>
      <c r="AX5" s="33">
        <f>AW5+AV5</f>
        <v>115000</v>
      </c>
      <c r="AY5" s="33">
        <v>3000</v>
      </c>
      <c r="AZ5" s="33">
        <f>AY5+AX5</f>
        <v>118000</v>
      </c>
      <c r="BA5" s="33">
        <v>3000</v>
      </c>
      <c r="BB5" s="33">
        <f>BA5+AZ5</f>
        <v>121000</v>
      </c>
      <c r="BC5" s="5">
        <v>3000</v>
      </c>
      <c r="BD5" s="34">
        <f>BC5+BB5</f>
        <v>124000</v>
      </c>
      <c r="BE5" s="34">
        <v>3000</v>
      </c>
      <c r="BF5" s="34">
        <f>BE5+BD5</f>
        <v>127000</v>
      </c>
      <c r="BG5" s="34">
        <v>3000</v>
      </c>
      <c r="BH5" s="34">
        <f>BG5+BF5</f>
        <v>130000</v>
      </c>
      <c r="BI5" s="34">
        <v>5000</v>
      </c>
      <c r="BJ5" s="34">
        <f>BI5+BH5</f>
        <v>135000</v>
      </c>
      <c r="BK5" s="34">
        <v>6750</v>
      </c>
      <c r="BL5" s="5">
        <f t="shared" ref="BL5:BL18" si="2">BK5+BJ5</f>
        <v>141750</v>
      </c>
      <c r="BM5" s="5">
        <v>5000</v>
      </c>
      <c r="BN5" s="5">
        <f t="shared" ref="BN5:BN18" si="3">BM5+BL5</f>
        <v>146750</v>
      </c>
      <c r="BO5" s="5">
        <v>6750</v>
      </c>
      <c r="BP5" s="5">
        <f t="shared" ref="BP5:BP18" si="4">BO5+BN5</f>
        <v>153500</v>
      </c>
      <c r="BQ5" s="5">
        <v>6000</v>
      </c>
      <c r="BR5" s="5">
        <f t="shared" ref="BR5:BR18" si="5">BQ5+BP5</f>
        <v>159500</v>
      </c>
      <c r="BS5" s="5">
        <v>4000</v>
      </c>
      <c r="BT5" s="5">
        <f t="shared" ref="BT5:BT18" si="6">BS5+BR5</f>
        <v>163500</v>
      </c>
      <c r="BU5" s="5">
        <v>9000</v>
      </c>
      <c r="BV5" s="5">
        <f t="shared" ref="BV5:BV18" si="7">BU5+BT5</f>
        <v>172500</v>
      </c>
      <c r="BW5" s="5">
        <v>3000</v>
      </c>
      <c r="BX5" s="5">
        <f>BW5+BV5</f>
        <v>175500</v>
      </c>
      <c r="BY5" s="5">
        <v>3000</v>
      </c>
      <c r="BZ5" s="5">
        <f>BY5+BX5</f>
        <v>178500</v>
      </c>
      <c r="CA5" s="5">
        <v>3000</v>
      </c>
      <c r="CB5" s="5">
        <f>CA5+BZ5</f>
        <v>181500</v>
      </c>
      <c r="CC5" s="5">
        <v>3000</v>
      </c>
      <c r="CD5" s="5">
        <f>CC5+CB5</f>
        <v>184500</v>
      </c>
      <c r="CE5" s="5">
        <v>5000</v>
      </c>
      <c r="CF5" s="5">
        <f>CE5+CD5</f>
        <v>189500</v>
      </c>
      <c r="CG5" s="5">
        <v>6750</v>
      </c>
      <c r="CH5" s="5">
        <f>CG5+CF5</f>
        <v>196250</v>
      </c>
      <c r="CI5" s="5">
        <v>5000</v>
      </c>
      <c r="CJ5" s="5">
        <f>CI5+CH5</f>
        <v>201250</v>
      </c>
      <c r="CK5" s="5">
        <v>6750</v>
      </c>
      <c r="CL5" s="5">
        <f>CK5+CJ5</f>
        <v>208000</v>
      </c>
      <c r="CM5" s="5">
        <v>6000</v>
      </c>
      <c r="CN5" s="5">
        <f>CM5+CL5</f>
        <v>214000</v>
      </c>
      <c r="CO5" s="5">
        <v>4000</v>
      </c>
      <c r="CP5" s="5">
        <f>CO5+CN5</f>
        <v>218000</v>
      </c>
      <c r="CQ5" s="5">
        <v>9000</v>
      </c>
      <c r="CR5" s="5">
        <f>CQ5+CP5</f>
        <v>227000</v>
      </c>
      <c r="CS5" s="5">
        <v>3000</v>
      </c>
      <c r="CT5" s="5">
        <f>CS5+CR5</f>
        <v>230000</v>
      </c>
      <c r="CU5" s="5"/>
      <c r="CV5" s="5"/>
      <c r="CW5" s="5"/>
      <c r="CX5" s="5"/>
      <c r="CY5" s="5"/>
      <c r="CZ5" s="5"/>
    </row>
    <row r="6" spans="1:104">
      <c r="A6" s="5" t="s">
        <v>28</v>
      </c>
      <c r="B6" s="5">
        <v>0</v>
      </c>
      <c r="C6" s="33">
        <v>2500</v>
      </c>
      <c r="D6" s="33">
        <f t="shared" ref="D6:D18" si="8">B6+C6</f>
        <v>2500</v>
      </c>
      <c r="E6" s="33">
        <v>2500</v>
      </c>
      <c r="F6" s="33">
        <f>E6+D6</f>
        <v>5000</v>
      </c>
      <c r="G6" s="33">
        <v>2500</v>
      </c>
      <c r="H6" s="33">
        <f t="shared" ref="H6:H18" si="9">G6+F6</f>
        <v>7500</v>
      </c>
      <c r="I6" s="33">
        <v>2500</v>
      </c>
      <c r="J6" s="33">
        <f t="shared" ref="J6:J18" si="10">I6+H6</f>
        <v>10000</v>
      </c>
      <c r="K6" s="22">
        <v>2500</v>
      </c>
      <c r="L6" s="22">
        <f t="shared" ref="L6:L18" si="11">K6+J6</f>
        <v>12500</v>
      </c>
      <c r="M6" s="33">
        <v>4500</v>
      </c>
      <c r="N6" s="33">
        <f t="shared" ref="N6:N18" si="12">M6+L6</f>
        <v>17000</v>
      </c>
      <c r="O6" s="22">
        <v>3500</v>
      </c>
      <c r="P6" s="22">
        <f t="shared" ref="P6:P18" si="13">O6+N6</f>
        <v>20500</v>
      </c>
      <c r="Q6" s="33">
        <v>4500</v>
      </c>
      <c r="R6" s="33">
        <f t="shared" ref="R6:R18" si="14">Q6+P6</f>
        <v>25000</v>
      </c>
      <c r="S6" s="22">
        <v>3500</v>
      </c>
      <c r="T6" s="22">
        <f t="shared" ref="T6:T18" si="15">S6+R6</f>
        <v>28500</v>
      </c>
      <c r="U6" s="33">
        <v>6500</v>
      </c>
      <c r="V6" s="33">
        <f t="shared" ref="V6:V18" si="16">U6+T6</f>
        <v>35000</v>
      </c>
      <c r="W6" s="33">
        <v>3500</v>
      </c>
      <c r="X6" s="22">
        <f t="shared" ref="X6:X18" si="17">W6+V6</f>
        <v>38500</v>
      </c>
      <c r="Y6" s="33">
        <v>8000</v>
      </c>
      <c r="Z6" s="33">
        <f t="shared" ref="Z6:Z18" si="18">Y6+X6</f>
        <v>46500</v>
      </c>
      <c r="AA6" s="22">
        <v>2500</v>
      </c>
      <c r="AB6" s="22">
        <f t="shared" ref="AB6:AB18" si="19">AA6+Z6</f>
        <v>49000</v>
      </c>
      <c r="AC6" s="33">
        <v>2500</v>
      </c>
      <c r="AD6" s="33">
        <f t="shared" ref="AD6:AD18" si="20">AC6+AB6</f>
        <v>51500</v>
      </c>
      <c r="AE6" s="22">
        <v>2500</v>
      </c>
      <c r="AF6" s="22">
        <f t="shared" ref="AF6:AF18" si="21">AE6+AD6</f>
        <v>54000</v>
      </c>
      <c r="AG6" s="33">
        <v>2500</v>
      </c>
      <c r="AH6" s="33">
        <f t="shared" ref="AH6:AH18" si="22">AG6+AF6</f>
        <v>56500</v>
      </c>
      <c r="AI6" s="22">
        <v>2500</v>
      </c>
      <c r="AJ6" s="22">
        <f t="shared" ref="AJ6:AJ18" si="23">AI6+AH6</f>
        <v>59000</v>
      </c>
      <c r="AK6" s="22">
        <v>4500</v>
      </c>
      <c r="AL6" s="33">
        <f t="shared" ref="AL6:AL18" si="24">AK6+AJ6</f>
        <v>63500</v>
      </c>
      <c r="AM6" s="22">
        <v>3500</v>
      </c>
      <c r="AN6" s="22">
        <f t="shared" ref="AN6:AN18" si="25">AM6+AL6</f>
        <v>67000</v>
      </c>
      <c r="AO6" s="33">
        <v>4500</v>
      </c>
      <c r="AP6" s="33">
        <f t="shared" ref="AP6:AP18" si="26">AO6+AN6</f>
        <v>71500</v>
      </c>
      <c r="AQ6" s="22">
        <v>3500</v>
      </c>
      <c r="AR6" s="22">
        <f t="shared" ref="AR6:AR18" si="27">AQ6+AP6</f>
        <v>75000</v>
      </c>
      <c r="AS6" s="33">
        <v>6500</v>
      </c>
      <c r="AT6" s="33">
        <f t="shared" ref="AT6:AT18" si="28">AS6+AR6</f>
        <v>81500</v>
      </c>
      <c r="AU6" s="22">
        <v>3500</v>
      </c>
      <c r="AV6" s="22">
        <f t="shared" ref="AV6:AV18" si="29">AU6+AT6</f>
        <v>85000</v>
      </c>
      <c r="AW6" s="33">
        <v>8000</v>
      </c>
      <c r="AX6" s="33">
        <f t="shared" ref="AX6:AX18" si="30">AW6+AV6</f>
        <v>93000</v>
      </c>
      <c r="AY6" s="33">
        <v>2500</v>
      </c>
      <c r="AZ6" s="33">
        <f t="shared" ref="AZ6:AZ18" si="31">AY6+AX6</f>
        <v>95500</v>
      </c>
      <c r="BA6" s="33">
        <v>2500</v>
      </c>
      <c r="BB6" s="33">
        <f t="shared" ref="BB6:BB18" si="32">BA6+AZ6</f>
        <v>98000</v>
      </c>
      <c r="BC6" s="22">
        <v>2500</v>
      </c>
      <c r="BD6" s="33">
        <f t="shared" ref="BD6:BD18" si="33">BC6+BB6</f>
        <v>100500</v>
      </c>
      <c r="BE6" s="33">
        <v>2500</v>
      </c>
      <c r="BF6" s="33">
        <f t="shared" ref="BF6:BF18" si="34">BE6+BD6</f>
        <v>103000</v>
      </c>
      <c r="BG6" s="33">
        <v>2500</v>
      </c>
      <c r="BH6" s="33">
        <f t="shared" ref="BH6:BH18" si="35">BG6+BF6</f>
        <v>105500</v>
      </c>
      <c r="BI6" s="33">
        <v>4500</v>
      </c>
      <c r="BJ6" s="33">
        <f t="shared" ref="BJ6:BJ18" si="36">BI6+BH6</f>
        <v>110000</v>
      </c>
      <c r="BK6" s="34">
        <v>3500</v>
      </c>
      <c r="BL6" s="5">
        <f t="shared" si="2"/>
        <v>113500</v>
      </c>
      <c r="BM6" s="5">
        <v>4500</v>
      </c>
      <c r="BN6" s="5">
        <f t="shared" si="3"/>
        <v>118000</v>
      </c>
      <c r="BO6" s="5">
        <v>3500</v>
      </c>
      <c r="BP6" s="5">
        <f t="shared" si="4"/>
        <v>121500</v>
      </c>
      <c r="BQ6" s="5">
        <v>6500</v>
      </c>
      <c r="BR6" s="5">
        <f t="shared" si="5"/>
        <v>128000</v>
      </c>
      <c r="BS6" s="5">
        <v>3500</v>
      </c>
      <c r="BT6" s="5">
        <f t="shared" si="6"/>
        <v>131500</v>
      </c>
      <c r="BU6" s="5">
        <v>8000</v>
      </c>
      <c r="BV6" s="5">
        <f t="shared" si="7"/>
        <v>139500</v>
      </c>
      <c r="BW6" s="5">
        <v>2500</v>
      </c>
      <c r="BX6" s="5">
        <f t="shared" ref="BX6:BX18" si="37">BW6+BV6</f>
        <v>142000</v>
      </c>
      <c r="BY6" s="5">
        <v>2500</v>
      </c>
      <c r="BZ6" s="5">
        <f t="shared" ref="BZ6:BZ18" si="38">BY6+BX6</f>
        <v>144500</v>
      </c>
      <c r="CA6" s="5">
        <v>2500</v>
      </c>
      <c r="CB6" s="5">
        <f t="shared" ref="CB6:CB17" si="39">CA6+BZ6</f>
        <v>147000</v>
      </c>
      <c r="CC6" s="5">
        <v>2500</v>
      </c>
      <c r="CD6" s="5">
        <f t="shared" ref="CD6:CD18" si="40">CC6+CB6</f>
        <v>149500</v>
      </c>
      <c r="CE6" s="5">
        <v>4500</v>
      </c>
      <c r="CF6" s="5">
        <f t="shared" ref="CF6:CF18" si="41">CE6+CD6</f>
        <v>154000</v>
      </c>
      <c r="CG6" s="5">
        <v>3500</v>
      </c>
      <c r="CH6" s="5">
        <f t="shared" ref="CH6:CH18" si="42">CG6+CF6</f>
        <v>157500</v>
      </c>
      <c r="CI6" s="5">
        <v>4500</v>
      </c>
      <c r="CJ6" s="5">
        <f t="shared" ref="CJ6:CJ18" si="43">CI6+CH6</f>
        <v>162000</v>
      </c>
      <c r="CK6" s="5">
        <v>3500</v>
      </c>
      <c r="CL6" s="5">
        <f t="shared" ref="CL6:CL18" si="44">CK6+CJ6</f>
        <v>165500</v>
      </c>
      <c r="CM6" s="5">
        <v>6500</v>
      </c>
      <c r="CN6" s="5">
        <f t="shared" ref="CN6:CN18" si="45">CM6+CL6</f>
        <v>172000</v>
      </c>
      <c r="CO6" s="5">
        <v>3500</v>
      </c>
      <c r="CP6" s="5">
        <f t="shared" ref="CP6:CP18" si="46">CO6+CN6</f>
        <v>175500</v>
      </c>
      <c r="CQ6" s="5">
        <v>8000</v>
      </c>
      <c r="CR6" s="5">
        <f t="shared" ref="CR6:CR18" si="47">CQ6+CP6</f>
        <v>183500</v>
      </c>
      <c r="CS6" s="5">
        <v>2500</v>
      </c>
      <c r="CT6" s="5">
        <f t="shared" ref="CT6:CT18" si="48">CS6+CR6</f>
        <v>186000</v>
      </c>
      <c r="CU6" s="5"/>
      <c r="CV6" s="5"/>
      <c r="CW6" s="5"/>
      <c r="CX6" s="5"/>
      <c r="CY6" s="5"/>
      <c r="CZ6" s="5"/>
    </row>
    <row r="7" spans="1:104">
      <c r="A7" s="5" t="s">
        <v>124</v>
      </c>
      <c r="B7" s="5">
        <v>0</v>
      </c>
      <c r="C7" s="33">
        <v>2750</v>
      </c>
      <c r="D7" s="33">
        <f t="shared" si="8"/>
        <v>2750</v>
      </c>
      <c r="E7" s="33">
        <v>2750</v>
      </c>
      <c r="F7" s="33">
        <f t="shared" ref="F7" si="49">E7+D7</f>
        <v>5500</v>
      </c>
      <c r="G7" s="33">
        <v>3750</v>
      </c>
      <c r="H7" s="33">
        <f t="shared" si="9"/>
        <v>9250</v>
      </c>
      <c r="I7" s="33">
        <v>3750</v>
      </c>
      <c r="J7" s="33">
        <f t="shared" si="10"/>
        <v>13000</v>
      </c>
      <c r="K7" s="22">
        <v>3750</v>
      </c>
      <c r="L7" s="22">
        <f t="shared" si="11"/>
        <v>16750</v>
      </c>
      <c r="M7" s="33">
        <v>5750</v>
      </c>
      <c r="N7" s="33">
        <f t="shared" si="12"/>
        <v>22500</v>
      </c>
      <c r="O7" s="22">
        <v>3750</v>
      </c>
      <c r="P7" s="22">
        <f t="shared" si="13"/>
        <v>26250</v>
      </c>
      <c r="Q7" s="33">
        <v>6250</v>
      </c>
      <c r="R7" s="33">
        <f t="shared" si="14"/>
        <v>32500</v>
      </c>
      <c r="S7" s="22">
        <v>3750</v>
      </c>
      <c r="T7" s="22">
        <f t="shared" si="15"/>
        <v>36250</v>
      </c>
      <c r="U7" s="33">
        <v>9250</v>
      </c>
      <c r="V7" s="33">
        <f t="shared" si="16"/>
        <v>45500</v>
      </c>
      <c r="W7" s="33">
        <v>3750</v>
      </c>
      <c r="X7" s="22">
        <f t="shared" si="17"/>
        <v>49250</v>
      </c>
      <c r="Y7" s="33">
        <v>5750</v>
      </c>
      <c r="Z7" s="33">
        <f t="shared" si="18"/>
        <v>55000</v>
      </c>
      <c r="AA7" s="22">
        <v>2750</v>
      </c>
      <c r="AB7" s="22">
        <f t="shared" si="19"/>
        <v>57750</v>
      </c>
      <c r="AC7" s="33">
        <v>2750</v>
      </c>
      <c r="AD7" s="33">
        <f t="shared" si="20"/>
        <v>60500</v>
      </c>
      <c r="AE7" s="22">
        <v>3750</v>
      </c>
      <c r="AF7" s="22">
        <f t="shared" si="21"/>
        <v>64250</v>
      </c>
      <c r="AG7" s="33">
        <v>3750</v>
      </c>
      <c r="AH7" s="33">
        <f t="shared" si="22"/>
        <v>68000</v>
      </c>
      <c r="AI7" s="22">
        <v>3750</v>
      </c>
      <c r="AJ7" s="22">
        <f t="shared" si="23"/>
        <v>71750</v>
      </c>
      <c r="AK7" s="22">
        <v>5750</v>
      </c>
      <c r="AL7" s="33">
        <f t="shared" si="24"/>
        <v>77500</v>
      </c>
      <c r="AM7" s="22">
        <v>3750</v>
      </c>
      <c r="AN7" s="22">
        <f t="shared" si="25"/>
        <v>81250</v>
      </c>
      <c r="AO7" s="33">
        <v>6250</v>
      </c>
      <c r="AP7" s="33">
        <f t="shared" si="26"/>
        <v>87500</v>
      </c>
      <c r="AQ7" s="22">
        <v>3750</v>
      </c>
      <c r="AR7" s="22">
        <f t="shared" si="27"/>
        <v>91250</v>
      </c>
      <c r="AS7" s="33">
        <v>9250</v>
      </c>
      <c r="AT7" s="33">
        <f t="shared" si="28"/>
        <v>100500</v>
      </c>
      <c r="AU7" s="22">
        <v>3750</v>
      </c>
      <c r="AV7" s="22">
        <f t="shared" si="29"/>
        <v>104250</v>
      </c>
      <c r="AW7" s="33">
        <v>5750</v>
      </c>
      <c r="AX7" s="33">
        <f t="shared" si="30"/>
        <v>110000</v>
      </c>
      <c r="AY7" s="33">
        <v>2750</v>
      </c>
      <c r="AZ7" s="33">
        <f t="shared" si="31"/>
        <v>112750</v>
      </c>
      <c r="BA7" s="33">
        <v>2750</v>
      </c>
      <c r="BB7" s="33">
        <f t="shared" si="32"/>
        <v>115500</v>
      </c>
      <c r="BC7" s="5">
        <v>3750</v>
      </c>
      <c r="BD7" s="34">
        <f t="shared" si="33"/>
        <v>119250</v>
      </c>
      <c r="BE7" s="34">
        <v>3750</v>
      </c>
      <c r="BF7" s="34">
        <f t="shared" si="34"/>
        <v>123000</v>
      </c>
      <c r="BG7" s="34">
        <v>3750</v>
      </c>
      <c r="BH7" s="34">
        <f t="shared" si="35"/>
        <v>126750</v>
      </c>
      <c r="BI7" s="34">
        <v>5750</v>
      </c>
      <c r="BJ7" s="34">
        <f t="shared" si="36"/>
        <v>132500</v>
      </c>
      <c r="BK7" s="34">
        <v>3750</v>
      </c>
      <c r="BL7" s="5">
        <f t="shared" si="2"/>
        <v>136250</v>
      </c>
      <c r="BM7" s="5">
        <v>6250</v>
      </c>
      <c r="BN7" s="5">
        <f t="shared" si="3"/>
        <v>142500</v>
      </c>
      <c r="BO7" s="5">
        <v>3750</v>
      </c>
      <c r="BP7" s="5">
        <f t="shared" si="4"/>
        <v>146250</v>
      </c>
      <c r="BQ7" s="5">
        <v>9250</v>
      </c>
      <c r="BR7" s="5">
        <f t="shared" si="5"/>
        <v>155500</v>
      </c>
      <c r="BS7" s="5">
        <v>33750</v>
      </c>
      <c r="BT7" s="5">
        <f t="shared" si="6"/>
        <v>189250</v>
      </c>
      <c r="BU7" s="5">
        <v>5750</v>
      </c>
      <c r="BV7" s="5">
        <f t="shared" si="7"/>
        <v>195000</v>
      </c>
      <c r="BW7" s="5">
        <v>2750</v>
      </c>
      <c r="BX7" s="5">
        <f t="shared" si="37"/>
        <v>197750</v>
      </c>
      <c r="BY7" s="5">
        <v>2750</v>
      </c>
      <c r="BZ7" s="5">
        <f t="shared" si="38"/>
        <v>200500</v>
      </c>
      <c r="CA7" s="5">
        <v>3750</v>
      </c>
      <c r="CB7" s="5">
        <f t="shared" si="39"/>
        <v>204250</v>
      </c>
      <c r="CC7" s="5">
        <v>3750</v>
      </c>
      <c r="CD7" s="5">
        <f t="shared" si="40"/>
        <v>208000</v>
      </c>
      <c r="CE7" s="5">
        <v>5750</v>
      </c>
      <c r="CF7" s="5">
        <f t="shared" si="41"/>
        <v>213750</v>
      </c>
      <c r="CG7" s="5">
        <v>3750</v>
      </c>
      <c r="CH7" s="5">
        <f t="shared" si="42"/>
        <v>217500</v>
      </c>
      <c r="CI7" s="5">
        <v>6250</v>
      </c>
      <c r="CJ7" s="5">
        <f t="shared" si="43"/>
        <v>223750</v>
      </c>
      <c r="CK7" s="5">
        <v>3750</v>
      </c>
      <c r="CL7" s="5">
        <f t="shared" si="44"/>
        <v>227500</v>
      </c>
      <c r="CM7" s="5">
        <v>9250</v>
      </c>
      <c r="CN7" s="5">
        <f t="shared" si="45"/>
        <v>236750</v>
      </c>
      <c r="CO7" s="5">
        <v>3750</v>
      </c>
      <c r="CP7" s="5">
        <f t="shared" si="46"/>
        <v>240500</v>
      </c>
      <c r="CQ7" s="5">
        <v>5750</v>
      </c>
      <c r="CR7" s="5">
        <f t="shared" si="47"/>
        <v>246250</v>
      </c>
      <c r="CS7" s="5">
        <v>2750</v>
      </c>
      <c r="CT7" s="5">
        <f t="shared" si="48"/>
        <v>249000</v>
      </c>
      <c r="CU7" s="5"/>
      <c r="CV7" s="5"/>
      <c r="CW7" s="5"/>
      <c r="CX7" s="5"/>
      <c r="CY7" s="5"/>
      <c r="CZ7" s="5"/>
    </row>
    <row r="8" spans="1:104">
      <c r="A8" s="5" t="s">
        <v>30</v>
      </c>
      <c r="B8" s="5">
        <v>0</v>
      </c>
      <c r="C8" s="33">
        <v>3150</v>
      </c>
      <c r="D8" s="33">
        <f t="shared" si="8"/>
        <v>3150</v>
      </c>
      <c r="E8" s="33">
        <v>3150</v>
      </c>
      <c r="F8" s="33">
        <f t="shared" ref="F8:F18" si="50">E8+D8</f>
        <v>6300</v>
      </c>
      <c r="G8" s="33">
        <v>3150</v>
      </c>
      <c r="H8" s="33">
        <f t="shared" si="9"/>
        <v>9450</v>
      </c>
      <c r="I8" s="33">
        <v>6500</v>
      </c>
      <c r="J8" s="33">
        <f t="shared" si="10"/>
        <v>15950</v>
      </c>
      <c r="K8" s="22">
        <v>3150</v>
      </c>
      <c r="L8" s="22">
        <f t="shared" si="11"/>
        <v>19100</v>
      </c>
      <c r="M8" s="33">
        <v>7250</v>
      </c>
      <c r="N8" s="33">
        <f t="shared" si="12"/>
        <v>26350</v>
      </c>
      <c r="O8" s="22">
        <v>4400</v>
      </c>
      <c r="P8" s="22">
        <f t="shared" si="13"/>
        <v>30750</v>
      </c>
      <c r="Q8" s="33">
        <v>6500</v>
      </c>
      <c r="R8" s="33">
        <f t="shared" si="14"/>
        <v>37250</v>
      </c>
      <c r="S8" s="22">
        <v>4400</v>
      </c>
      <c r="T8" s="22">
        <f t="shared" si="15"/>
        <v>41650</v>
      </c>
      <c r="U8" s="33">
        <v>9500</v>
      </c>
      <c r="V8" s="33">
        <f t="shared" si="16"/>
        <v>51150</v>
      </c>
      <c r="W8" s="33">
        <v>4400</v>
      </c>
      <c r="X8" s="22">
        <f t="shared" si="17"/>
        <v>55550</v>
      </c>
      <c r="Y8" s="33">
        <v>10250</v>
      </c>
      <c r="Z8" s="33">
        <f t="shared" si="18"/>
        <v>65800</v>
      </c>
      <c r="AA8" s="22">
        <v>3150</v>
      </c>
      <c r="AB8" s="22">
        <f t="shared" si="19"/>
        <v>68950</v>
      </c>
      <c r="AC8" s="33">
        <v>3150</v>
      </c>
      <c r="AD8" s="33">
        <f t="shared" si="20"/>
        <v>72100</v>
      </c>
      <c r="AE8" s="22">
        <v>3150</v>
      </c>
      <c r="AF8" s="22">
        <f t="shared" si="21"/>
        <v>75250</v>
      </c>
      <c r="AG8" s="33">
        <v>6500</v>
      </c>
      <c r="AH8" s="33">
        <f t="shared" si="22"/>
        <v>81750</v>
      </c>
      <c r="AI8" s="22">
        <v>3150</v>
      </c>
      <c r="AJ8" s="22">
        <f t="shared" si="23"/>
        <v>84900</v>
      </c>
      <c r="AK8" s="22">
        <v>7250</v>
      </c>
      <c r="AL8" s="33">
        <f t="shared" si="24"/>
        <v>92150</v>
      </c>
      <c r="AM8" s="22">
        <v>4400</v>
      </c>
      <c r="AN8" s="22">
        <f t="shared" si="25"/>
        <v>96550</v>
      </c>
      <c r="AO8" s="33">
        <v>6500</v>
      </c>
      <c r="AP8" s="33">
        <f t="shared" si="26"/>
        <v>103050</v>
      </c>
      <c r="AQ8" s="22">
        <v>4400</v>
      </c>
      <c r="AR8" s="22">
        <f t="shared" si="27"/>
        <v>107450</v>
      </c>
      <c r="AS8" s="33">
        <v>9500</v>
      </c>
      <c r="AT8" s="33">
        <f t="shared" si="28"/>
        <v>116950</v>
      </c>
      <c r="AU8" s="22">
        <v>4400</v>
      </c>
      <c r="AV8" s="22">
        <f t="shared" si="29"/>
        <v>121350</v>
      </c>
      <c r="AW8" s="33">
        <v>10250</v>
      </c>
      <c r="AX8" s="33">
        <f t="shared" si="30"/>
        <v>131600</v>
      </c>
      <c r="AY8" s="33">
        <v>3150</v>
      </c>
      <c r="AZ8" s="33">
        <f t="shared" si="31"/>
        <v>134750</v>
      </c>
      <c r="BA8" s="33">
        <v>3150</v>
      </c>
      <c r="BB8" s="33">
        <f t="shared" si="32"/>
        <v>137900</v>
      </c>
      <c r="BC8" s="5">
        <v>3150</v>
      </c>
      <c r="BD8" s="34">
        <f t="shared" si="33"/>
        <v>141050</v>
      </c>
      <c r="BE8" s="34">
        <v>6500</v>
      </c>
      <c r="BF8" s="34">
        <f t="shared" si="34"/>
        <v>147550</v>
      </c>
      <c r="BG8" s="34">
        <v>3150</v>
      </c>
      <c r="BH8" s="34">
        <f t="shared" si="35"/>
        <v>150700</v>
      </c>
      <c r="BI8" s="34">
        <v>7250</v>
      </c>
      <c r="BJ8" s="34">
        <f t="shared" si="36"/>
        <v>157950</v>
      </c>
      <c r="BK8" s="34">
        <v>4400</v>
      </c>
      <c r="BL8" s="5">
        <f t="shared" si="2"/>
        <v>162350</v>
      </c>
      <c r="BM8" s="5">
        <v>6500</v>
      </c>
      <c r="BN8" s="5">
        <f t="shared" si="3"/>
        <v>168850</v>
      </c>
      <c r="BO8" s="5">
        <v>4400</v>
      </c>
      <c r="BP8" s="5">
        <f t="shared" si="4"/>
        <v>173250</v>
      </c>
      <c r="BQ8" s="5">
        <v>9500</v>
      </c>
      <c r="BR8" s="5">
        <f t="shared" si="5"/>
        <v>182750</v>
      </c>
      <c r="BS8" s="5">
        <v>4400</v>
      </c>
      <c r="BT8" s="5">
        <f t="shared" si="6"/>
        <v>187150</v>
      </c>
      <c r="BU8" s="5">
        <v>10250</v>
      </c>
      <c r="BV8" s="5">
        <f t="shared" si="7"/>
        <v>197400</v>
      </c>
      <c r="BW8" s="5">
        <v>3150</v>
      </c>
      <c r="BX8" s="5">
        <f t="shared" si="37"/>
        <v>200550</v>
      </c>
      <c r="BY8" s="5">
        <v>3150</v>
      </c>
      <c r="BZ8" s="5">
        <f t="shared" si="38"/>
        <v>203700</v>
      </c>
      <c r="CA8" s="5">
        <v>6500</v>
      </c>
      <c r="CB8" s="5">
        <f t="shared" si="39"/>
        <v>210200</v>
      </c>
      <c r="CC8" s="5">
        <v>3150</v>
      </c>
      <c r="CD8" s="5">
        <f t="shared" si="40"/>
        <v>213350</v>
      </c>
      <c r="CE8" s="5">
        <v>7250</v>
      </c>
      <c r="CF8" s="5">
        <f t="shared" si="41"/>
        <v>220600</v>
      </c>
      <c r="CG8" s="5">
        <v>4400</v>
      </c>
      <c r="CH8" s="5">
        <f t="shared" si="42"/>
        <v>225000</v>
      </c>
      <c r="CI8" s="5">
        <v>6500</v>
      </c>
      <c r="CJ8" s="5">
        <f t="shared" si="43"/>
        <v>231500</v>
      </c>
      <c r="CK8" s="5">
        <v>4400</v>
      </c>
      <c r="CL8" s="5">
        <f t="shared" si="44"/>
        <v>235900</v>
      </c>
      <c r="CM8" s="5">
        <v>9500</v>
      </c>
      <c r="CN8" s="5">
        <f t="shared" si="45"/>
        <v>245400</v>
      </c>
      <c r="CO8" s="5">
        <v>4400</v>
      </c>
      <c r="CP8" s="5">
        <f t="shared" si="46"/>
        <v>249800</v>
      </c>
      <c r="CQ8" s="5">
        <v>10250</v>
      </c>
      <c r="CR8" s="5">
        <f t="shared" si="47"/>
        <v>260050</v>
      </c>
      <c r="CS8" s="5">
        <v>3150</v>
      </c>
      <c r="CT8" s="5">
        <f t="shared" si="48"/>
        <v>263200</v>
      </c>
      <c r="CU8" s="5"/>
      <c r="CV8" s="5"/>
      <c r="CW8" s="5"/>
      <c r="CX8" s="5"/>
      <c r="CY8" s="5"/>
      <c r="CZ8" s="5"/>
    </row>
    <row r="9" spans="1:104">
      <c r="A9" s="5" t="s">
        <v>33</v>
      </c>
      <c r="B9" s="5">
        <v>0</v>
      </c>
      <c r="C9" s="33">
        <v>1850</v>
      </c>
      <c r="D9" s="33">
        <f t="shared" si="8"/>
        <v>1850</v>
      </c>
      <c r="E9" s="33">
        <v>1850</v>
      </c>
      <c r="F9" s="33">
        <f t="shared" si="50"/>
        <v>3700</v>
      </c>
      <c r="G9" s="33">
        <v>1850</v>
      </c>
      <c r="H9" s="33">
        <f t="shared" si="9"/>
        <v>5550</v>
      </c>
      <c r="I9" s="33">
        <v>1850</v>
      </c>
      <c r="J9" s="33">
        <f t="shared" si="10"/>
        <v>7400</v>
      </c>
      <c r="K9" s="22">
        <v>1850</v>
      </c>
      <c r="L9" s="22">
        <f t="shared" si="11"/>
        <v>9250</v>
      </c>
      <c r="M9" s="33">
        <v>3650</v>
      </c>
      <c r="N9" s="33">
        <f t="shared" si="12"/>
        <v>12900</v>
      </c>
      <c r="O9" s="22">
        <v>2850</v>
      </c>
      <c r="P9" s="22">
        <f t="shared" si="13"/>
        <v>15750</v>
      </c>
      <c r="Q9" s="33">
        <v>3650</v>
      </c>
      <c r="R9" s="33">
        <f t="shared" si="14"/>
        <v>19400</v>
      </c>
      <c r="S9" s="22">
        <v>2850</v>
      </c>
      <c r="T9" s="22">
        <f t="shared" si="15"/>
        <v>22250</v>
      </c>
      <c r="U9" s="33">
        <v>5250</v>
      </c>
      <c r="V9" s="33">
        <f t="shared" si="16"/>
        <v>27500</v>
      </c>
      <c r="W9" s="33">
        <v>2850</v>
      </c>
      <c r="X9" s="22">
        <f t="shared" si="17"/>
        <v>30350</v>
      </c>
      <c r="Y9" s="33">
        <v>6500</v>
      </c>
      <c r="Z9" s="33">
        <f t="shared" si="18"/>
        <v>36850</v>
      </c>
      <c r="AA9" s="22">
        <v>1850</v>
      </c>
      <c r="AB9" s="22">
        <f t="shared" si="19"/>
        <v>38700</v>
      </c>
      <c r="AC9" s="33">
        <v>1850</v>
      </c>
      <c r="AD9" s="33">
        <f t="shared" si="20"/>
        <v>40550</v>
      </c>
      <c r="AE9" s="22">
        <v>1850</v>
      </c>
      <c r="AF9" s="22">
        <f t="shared" si="21"/>
        <v>42400</v>
      </c>
      <c r="AG9" s="33">
        <v>1850</v>
      </c>
      <c r="AH9" s="33">
        <f t="shared" si="22"/>
        <v>44250</v>
      </c>
      <c r="AI9" s="22">
        <v>1850</v>
      </c>
      <c r="AJ9" s="22">
        <f t="shared" si="23"/>
        <v>46100</v>
      </c>
      <c r="AK9" s="22">
        <v>3650</v>
      </c>
      <c r="AL9" s="33">
        <f t="shared" si="24"/>
        <v>49750</v>
      </c>
      <c r="AM9" s="22">
        <v>2850</v>
      </c>
      <c r="AN9" s="22">
        <f t="shared" si="25"/>
        <v>52600</v>
      </c>
      <c r="AO9" s="33">
        <v>3650</v>
      </c>
      <c r="AP9" s="33">
        <f t="shared" si="26"/>
        <v>56250</v>
      </c>
      <c r="AQ9" s="22">
        <v>2850</v>
      </c>
      <c r="AR9" s="22">
        <f t="shared" si="27"/>
        <v>59100</v>
      </c>
      <c r="AS9" s="33">
        <v>5250</v>
      </c>
      <c r="AT9" s="33">
        <f t="shared" si="28"/>
        <v>64350</v>
      </c>
      <c r="AU9" s="22">
        <v>2850</v>
      </c>
      <c r="AV9" s="22">
        <f t="shared" si="29"/>
        <v>67200</v>
      </c>
      <c r="AW9" s="33">
        <v>6500</v>
      </c>
      <c r="AX9" s="33">
        <f t="shared" si="30"/>
        <v>73700</v>
      </c>
      <c r="AY9" s="33">
        <v>1850</v>
      </c>
      <c r="AZ9" s="33">
        <f t="shared" si="31"/>
        <v>75550</v>
      </c>
      <c r="BA9" s="33">
        <v>1850</v>
      </c>
      <c r="BB9" s="33">
        <f t="shared" si="32"/>
        <v>77400</v>
      </c>
      <c r="BC9" s="22">
        <v>1850</v>
      </c>
      <c r="BD9" s="33">
        <f t="shared" si="33"/>
        <v>79250</v>
      </c>
      <c r="BE9" s="33">
        <v>1850</v>
      </c>
      <c r="BF9" s="33">
        <f t="shared" si="34"/>
        <v>81100</v>
      </c>
      <c r="BG9" s="33">
        <v>1850</v>
      </c>
      <c r="BH9" s="33">
        <f t="shared" si="35"/>
        <v>82950</v>
      </c>
      <c r="BI9" s="33">
        <v>3650</v>
      </c>
      <c r="BJ9" s="33">
        <f t="shared" si="36"/>
        <v>86600</v>
      </c>
      <c r="BK9" s="34">
        <v>2850</v>
      </c>
      <c r="BL9" s="5">
        <f t="shared" si="2"/>
        <v>89450</v>
      </c>
      <c r="BM9" s="5">
        <v>3650</v>
      </c>
      <c r="BN9" s="5">
        <f t="shared" si="3"/>
        <v>93100</v>
      </c>
      <c r="BO9" s="5">
        <v>2850</v>
      </c>
      <c r="BP9" s="5">
        <f t="shared" si="4"/>
        <v>95950</v>
      </c>
      <c r="BQ9" s="5">
        <v>5250</v>
      </c>
      <c r="BR9" s="5">
        <f t="shared" si="5"/>
        <v>101200</v>
      </c>
      <c r="BS9" s="5">
        <v>2850</v>
      </c>
      <c r="BT9" s="5">
        <f t="shared" si="6"/>
        <v>104050</v>
      </c>
      <c r="BU9" s="5">
        <v>6500</v>
      </c>
      <c r="BV9" s="5">
        <f t="shared" si="7"/>
        <v>110550</v>
      </c>
      <c r="BW9" s="5">
        <v>1850</v>
      </c>
      <c r="BX9" s="5">
        <f t="shared" si="37"/>
        <v>112400</v>
      </c>
      <c r="BY9" s="5">
        <v>1850</v>
      </c>
      <c r="BZ9" s="5">
        <f t="shared" si="38"/>
        <v>114250</v>
      </c>
      <c r="CA9" s="5">
        <v>1850</v>
      </c>
      <c r="CB9" s="5">
        <f t="shared" si="39"/>
        <v>116100</v>
      </c>
      <c r="CC9" s="5">
        <v>1850</v>
      </c>
      <c r="CD9" s="5">
        <f t="shared" si="40"/>
        <v>117950</v>
      </c>
      <c r="CE9" s="5">
        <v>3650</v>
      </c>
      <c r="CF9" s="5">
        <f t="shared" si="41"/>
        <v>121600</v>
      </c>
      <c r="CG9" s="5">
        <v>2850</v>
      </c>
      <c r="CH9" s="5">
        <f t="shared" si="42"/>
        <v>124450</v>
      </c>
      <c r="CI9" s="5">
        <v>3650</v>
      </c>
      <c r="CJ9" s="5">
        <f t="shared" si="43"/>
        <v>128100</v>
      </c>
      <c r="CK9" s="5">
        <v>2850</v>
      </c>
      <c r="CL9" s="5">
        <f t="shared" si="44"/>
        <v>130950</v>
      </c>
      <c r="CM9" s="5">
        <v>5250</v>
      </c>
      <c r="CN9" s="5">
        <f t="shared" si="45"/>
        <v>136200</v>
      </c>
      <c r="CO9" s="5">
        <v>2850</v>
      </c>
      <c r="CP9" s="5">
        <f t="shared" si="46"/>
        <v>139050</v>
      </c>
      <c r="CQ9" s="5">
        <v>6500</v>
      </c>
      <c r="CR9" s="5">
        <f t="shared" si="47"/>
        <v>145550</v>
      </c>
      <c r="CS9" s="5">
        <v>1850</v>
      </c>
      <c r="CT9" s="5">
        <f t="shared" si="48"/>
        <v>147400</v>
      </c>
      <c r="CU9" s="5"/>
      <c r="CV9" s="5"/>
      <c r="CW9" s="5"/>
      <c r="CX9" s="5"/>
      <c r="CY9" s="5"/>
      <c r="CZ9" s="5"/>
    </row>
    <row r="10" spans="1:104">
      <c r="A10" s="5" t="s">
        <v>125</v>
      </c>
      <c r="B10" s="5">
        <v>0</v>
      </c>
      <c r="C10" s="33">
        <v>2150</v>
      </c>
      <c r="D10" s="33">
        <f t="shared" si="8"/>
        <v>2150</v>
      </c>
      <c r="E10" s="33">
        <v>2150</v>
      </c>
      <c r="F10" s="33">
        <f t="shared" si="50"/>
        <v>4300</v>
      </c>
      <c r="G10" s="33">
        <v>3400</v>
      </c>
      <c r="H10" s="33">
        <f t="shared" si="9"/>
        <v>7700</v>
      </c>
      <c r="I10" s="33">
        <v>3400</v>
      </c>
      <c r="J10" s="33">
        <f t="shared" si="10"/>
        <v>11100</v>
      </c>
      <c r="K10" s="22">
        <v>3400</v>
      </c>
      <c r="L10" s="22">
        <f t="shared" si="11"/>
        <v>14500</v>
      </c>
      <c r="M10" s="33">
        <v>5500</v>
      </c>
      <c r="N10" s="33">
        <f t="shared" si="12"/>
        <v>20000</v>
      </c>
      <c r="O10" s="22">
        <v>3300</v>
      </c>
      <c r="P10" s="22">
        <f t="shared" si="13"/>
        <v>23300</v>
      </c>
      <c r="Q10" s="33">
        <v>5750</v>
      </c>
      <c r="R10" s="33">
        <f t="shared" si="14"/>
        <v>29050</v>
      </c>
      <c r="S10" s="22">
        <v>3300</v>
      </c>
      <c r="T10" s="22">
        <f t="shared" si="15"/>
        <v>32350</v>
      </c>
      <c r="U10" s="33">
        <v>7500</v>
      </c>
      <c r="V10" s="33">
        <f t="shared" si="16"/>
        <v>39850</v>
      </c>
      <c r="W10" s="33">
        <v>3300</v>
      </c>
      <c r="X10" s="22">
        <f t="shared" si="17"/>
        <v>43150</v>
      </c>
      <c r="Y10" s="33">
        <v>5500</v>
      </c>
      <c r="Z10" s="33">
        <f t="shared" si="18"/>
        <v>48650</v>
      </c>
      <c r="AA10" s="22">
        <v>2150</v>
      </c>
      <c r="AB10" s="22">
        <f t="shared" si="19"/>
        <v>50800</v>
      </c>
      <c r="AC10" s="33">
        <v>2150</v>
      </c>
      <c r="AD10" s="33">
        <f t="shared" si="20"/>
        <v>52950</v>
      </c>
      <c r="AE10" s="22">
        <v>3400</v>
      </c>
      <c r="AF10" s="22">
        <f t="shared" si="21"/>
        <v>56350</v>
      </c>
      <c r="AG10" s="33">
        <v>3400</v>
      </c>
      <c r="AH10" s="33">
        <f t="shared" si="22"/>
        <v>59750</v>
      </c>
      <c r="AI10" s="22">
        <v>3400</v>
      </c>
      <c r="AJ10" s="22">
        <f t="shared" si="23"/>
        <v>63150</v>
      </c>
      <c r="AK10" s="22">
        <v>5500</v>
      </c>
      <c r="AL10" s="33">
        <f t="shared" si="24"/>
        <v>68650</v>
      </c>
      <c r="AM10" s="22">
        <v>3300</v>
      </c>
      <c r="AN10" s="22">
        <f t="shared" si="25"/>
        <v>71950</v>
      </c>
      <c r="AO10" s="33">
        <v>5750</v>
      </c>
      <c r="AP10" s="33">
        <f t="shared" si="26"/>
        <v>77700</v>
      </c>
      <c r="AQ10" s="22">
        <v>3300</v>
      </c>
      <c r="AR10" s="22">
        <f t="shared" si="27"/>
        <v>81000</v>
      </c>
      <c r="AS10" s="33">
        <v>7500</v>
      </c>
      <c r="AT10" s="33">
        <f t="shared" si="28"/>
        <v>88500</v>
      </c>
      <c r="AU10" s="22">
        <v>3300</v>
      </c>
      <c r="AV10" s="22">
        <f t="shared" si="29"/>
        <v>91800</v>
      </c>
      <c r="AW10" s="33">
        <v>5500</v>
      </c>
      <c r="AX10" s="33">
        <f t="shared" si="30"/>
        <v>97300</v>
      </c>
      <c r="AY10" s="33">
        <v>2150</v>
      </c>
      <c r="AZ10" s="33">
        <f t="shared" si="31"/>
        <v>99450</v>
      </c>
      <c r="BA10" s="33">
        <v>2150</v>
      </c>
      <c r="BB10" s="33">
        <f t="shared" si="32"/>
        <v>101600</v>
      </c>
      <c r="BC10" s="5">
        <v>3400</v>
      </c>
      <c r="BD10" s="34">
        <f t="shared" si="33"/>
        <v>105000</v>
      </c>
      <c r="BE10" s="34">
        <v>3400</v>
      </c>
      <c r="BF10" s="34">
        <f t="shared" si="34"/>
        <v>108400</v>
      </c>
      <c r="BG10" s="34">
        <v>3400</v>
      </c>
      <c r="BH10" s="34">
        <f t="shared" si="35"/>
        <v>111800</v>
      </c>
      <c r="BI10" s="34">
        <v>5500</v>
      </c>
      <c r="BJ10" s="34">
        <f t="shared" si="36"/>
        <v>117300</v>
      </c>
      <c r="BK10" s="34">
        <v>3300</v>
      </c>
      <c r="BL10" s="5">
        <f t="shared" si="2"/>
        <v>120600</v>
      </c>
      <c r="BM10" s="5">
        <v>5750</v>
      </c>
      <c r="BN10" s="5">
        <f t="shared" si="3"/>
        <v>126350</v>
      </c>
      <c r="BO10" s="5">
        <v>3300</v>
      </c>
      <c r="BP10" s="5">
        <f t="shared" si="4"/>
        <v>129650</v>
      </c>
      <c r="BQ10" s="5">
        <v>7500</v>
      </c>
      <c r="BR10" s="5">
        <f t="shared" si="5"/>
        <v>137150</v>
      </c>
      <c r="BS10" s="5">
        <v>3300</v>
      </c>
      <c r="BT10" s="5">
        <f t="shared" si="6"/>
        <v>140450</v>
      </c>
      <c r="BU10" s="5">
        <v>5500</v>
      </c>
      <c r="BV10" s="5">
        <f t="shared" si="7"/>
        <v>145950</v>
      </c>
      <c r="BW10" s="5">
        <v>2150</v>
      </c>
      <c r="BX10" s="5">
        <f t="shared" si="37"/>
        <v>148100</v>
      </c>
      <c r="BY10" s="5">
        <v>2150</v>
      </c>
      <c r="BZ10" s="5">
        <f t="shared" si="38"/>
        <v>150250</v>
      </c>
      <c r="CA10" s="5">
        <v>3400</v>
      </c>
      <c r="CB10" s="5">
        <f t="shared" si="39"/>
        <v>153650</v>
      </c>
      <c r="CC10" s="5">
        <v>3400</v>
      </c>
      <c r="CD10" s="5">
        <f t="shared" si="40"/>
        <v>157050</v>
      </c>
      <c r="CE10" s="5">
        <v>5500</v>
      </c>
      <c r="CF10" s="5">
        <f t="shared" si="41"/>
        <v>162550</v>
      </c>
      <c r="CG10" s="5">
        <v>3300</v>
      </c>
      <c r="CH10" s="5">
        <f t="shared" si="42"/>
        <v>165850</v>
      </c>
      <c r="CI10" s="5">
        <v>5750</v>
      </c>
      <c r="CJ10" s="5">
        <f t="shared" si="43"/>
        <v>171600</v>
      </c>
      <c r="CK10" s="5">
        <v>3300</v>
      </c>
      <c r="CL10" s="5">
        <f t="shared" si="44"/>
        <v>174900</v>
      </c>
      <c r="CM10" s="5">
        <v>7500</v>
      </c>
      <c r="CN10" s="5">
        <f t="shared" si="45"/>
        <v>182400</v>
      </c>
      <c r="CO10" s="5">
        <v>3300</v>
      </c>
      <c r="CP10" s="5">
        <f t="shared" si="46"/>
        <v>185700</v>
      </c>
      <c r="CQ10" s="5">
        <v>5500</v>
      </c>
      <c r="CR10" s="5">
        <f t="shared" si="47"/>
        <v>191200</v>
      </c>
      <c r="CS10" s="5">
        <v>2150</v>
      </c>
      <c r="CT10" s="5">
        <f t="shared" si="48"/>
        <v>193350</v>
      </c>
      <c r="CU10" s="5"/>
      <c r="CV10" s="5"/>
      <c r="CW10" s="5"/>
      <c r="CX10" s="5"/>
      <c r="CY10" s="5"/>
      <c r="CZ10" s="5"/>
    </row>
    <row r="11" spans="1:104">
      <c r="A11" s="5" t="s">
        <v>32</v>
      </c>
      <c r="B11" s="5">
        <v>0</v>
      </c>
      <c r="C11" s="33">
        <v>3400</v>
      </c>
      <c r="D11" s="33">
        <f t="shared" si="8"/>
        <v>3400</v>
      </c>
      <c r="E11" s="33">
        <v>4400</v>
      </c>
      <c r="F11" s="33">
        <f t="shared" si="50"/>
        <v>7800</v>
      </c>
      <c r="G11" s="33">
        <v>3400</v>
      </c>
      <c r="H11" s="33">
        <f t="shared" si="9"/>
        <v>11200</v>
      </c>
      <c r="I11" s="33">
        <v>6000</v>
      </c>
      <c r="J11" s="33">
        <f t="shared" si="10"/>
        <v>17200</v>
      </c>
      <c r="K11" s="22">
        <v>3400</v>
      </c>
      <c r="L11" s="22">
        <f t="shared" si="11"/>
        <v>20600</v>
      </c>
      <c r="M11" s="33">
        <v>4400</v>
      </c>
      <c r="N11" s="33">
        <f t="shared" si="12"/>
        <v>25000</v>
      </c>
      <c r="O11" s="22">
        <v>3400</v>
      </c>
      <c r="P11" s="22">
        <f t="shared" si="13"/>
        <v>28400</v>
      </c>
      <c r="Q11" s="33">
        <v>6000</v>
      </c>
      <c r="R11" s="33">
        <f t="shared" si="14"/>
        <v>34400</v>
      </c>
      <c r="S11" s="22">
        <v>3400</v>
      </c>
      <c r="T11" s="22">
        <f t="shared" si="15"/>
        <v>37800</v>
      </c>
      <c r="U11" s="33">
        <v>4400</v>
      </c>
      <c r="V11" s="33">
        <f t="shared" si="16"/>
        <v>42200</v>
      </c>
      <c r="W11" s="33">
        <v>3400</v>
      </c>
      <c r="X11" s="22">
        <f t="shared" si="17"/>
        <v>45600</v>
      </c>
      <c r="Y11" s="33">
        <v>8750</v>
      </c>
      <c r="Z11" s="33">
        <f t="shared" si="18"/>
        <v>54350</v>
      </c>
      <c r="AA11" s="22">
        <v>3400</v>
      </c>
      <c r="AB11" s="22">
        <f t="shared" si="19"/>
        <v>57750</v>
      </c>
      <c r="AC11" s="33">
        <v>4400</v>
      </c>
      <c r="AD11" s="33">
        <f t="shared" si="20"/>
        <v>62150</v>
      </c>
      <c r="AE11" s="22">
        <v>3400</v>
      </c>
      <c r="AF11" s="22">
        <f t="shared" si="21"/>
        <v>65550</v>
      </c>
      <c r="AG11" s="33">
        <v>6000</v>
      </c>
      <c r="AH11" s="33">
        <f t="shared" si="22"/>
        <v>71550</v>
      </c>
      <c r="AI11" s="22">
        <v>3400</v>
      </c>
      <c r="AJ11" s="22">
        <f t="shared" si="23"/>
        <v>74950</v>
      </c>
      <c r="AK11" s="22">
        <v>4400</v>
      </c>
      <c r="AL11" s="33">
        <f t="shared" si="24"/>
        <v>79350</v>
      </c>
      <c r="AM11" s="22">
        <v>3400</v>
      </c>
      <c r="AN11" s="22">
        <f t="shared" si="25"/>
        <v>82750</v>
      </c>
      <c r="AO11" s="33">
        <v>6000</v>
      </c>
      <c r="AP11" s="33">
        <f t="shared" si="26"/>
        <v>88750</v>
      </c>
      <c r="AQ11" s="22">
        <v>3400</v>
      </c>
      <c r="AR11" s="22">
        <f t="shared" si="27"/>
        <v>92150</v>
      </c>
      <c r="AS11" s="33">
        <v>4400</v>
      </c>
      <c r="AT11" s="33">
        <f t="shared" si="28"/>
        <v>96550</v>
      </c>
      <c r="AU11" s="22">
        <v>3400</v>
      </c>
      <c r="AV11" s="22">
        <f t="shared" si="29"/>
        <v>99950</v>
      </c>
      <c r="AW11" s="33">
        <v>8750</v>
      </c>
      <c r="AX11" s="33">
        <f t="shared" si="30"/>
        <v>108700</v>
      </c>
      <c r="AY11" s="33">
        <v>3400</v>
      </c>
      <c r="AZ11" s="33">
        <f t="shared" si="31"/>
        <v>112100</v>
      </c>
      <c r="BA11" s="33">
        <v>4400</v>
      </c>
      <c r="BB11" s="33">
        <f t="shared" si="32"/>
        <v>116500</v>
      </c>
      <c r="BC11" s="5">
        <v>3400</v>
      </c>
      <c r="BD11" s="34">
        <f t="shared" si="33"/>
        <v>119900</v>
      </c>
      <c r="BE11" s="34">
        <v>6000</v>
      </c>
      <c r="BF11" s="34">
        <f t="shared" si="34"/>
        <v>125900</v>
      </c>
      <c r="BG11" s="34">
        <v>3400</v>
      </c>
      <c r="BH11" s="34">
        <f t="shared" si="35"/>
        <v>129300</v>
      </c>
      <c r="BI11" s="34">
        <v>4400</v>
      </c>
      <c r="BJ11" s="34">
        <f t="shared" si="36"/>
        <v>133700</v>
      </c>
      <c r="BK11" s="34">
        <v>3400</v>
      </c>
      <c r="BL11" s="5">
        <f t="shared" si="2"/>
        <v>137100</v>
      </c>
      <c r="BM11" s="5">
        <v>6000</v>
      </c>
      <c r="BN11" s="5">
        <f t="shared" si="3"/>
        <v>143100</v>
      </c>
      <c r="BO11" s="5">
        <v>3400</v>
      </c>
      <c r="BP11" s="5">
        <f t="shared" si="4"/>
        <v>146500</v>
      </c>
      <c r="BQ11" s="5">
        <v>4400</v>
      </c>
      <c r="BR11" s="5">
        <f t="shared" si="5"/>
        <v>150900</v>
      </c>
      <c r="BS11" s="5">
        <v>3400</v>
      </c>
      <c r="BT11" s="5">
        <f t="shared" si="6"/>
        <v>154300</v>
      </c>
      <c r="BU11" s="5">
        <v>8750</v>
      </c>
      <c r="BV11" s="5">
        <f t="shared" si="7"/>
        <v>163050</v>
      </c>
      <c r="BW11" s="5">
        <v>3400</v>
      </c>
      <c r="BX11" s="5">
        <f t="shared" si="37"/>
        <v>166450</v>
      </c>
      <c r="BY11" s="5">
        <v>4400</v>
      </c>
      <c r="BZ11" s="5">
        <f t="shared" si="38"/>
        <v>170850</v>
      </c>
      <c r="CA11" s="5">
        <v>6000</v>
      </c>
      <c r="CB11" s="5">
        <f t="shared" si="39"/>
        <v>176850</v>
      </c>
      <c r="CC11" s="5">
        <v>3400</v>
      </c>
      <c r="CD11" s="5">
        <f t="shared" si="40"/>
        <v>180250</v>
      </c>
      <c r="CE11" s="5">
        <v>4400</v>
      </c>
      <c r="CF11" s="5">
        <f t="shared" si="41"/>
        <v>184650</v>
      </c>
      <c r="CG11" s="5">
        <v>3400</v>
      </c>
      <c r="CH11" s="5">
        <f t="shared" si="42"/>
        <v>188050</v>
      </c>
      <c r="CI11" s="5">
        <v>6000</v>
      </c>
      <c r="CJ11" s="5">
        <f t="shared" si="43"/>
        <v>194050</v>
      </c>
      <c r="CK11" s="5">
        <v>3400</v>
      </c>
      <c r="CL11" s="5">
        <f t="shared" si="44"/>
        <v>197450</v>
      </c>
      <c r="CM11" s="5">
        <v>4400</v>
      </c>
      <c r="CN11" s="5">
        <f t="shared" si="45"/>
        <v>201850</v>
      </c>
      <c r="CO11" s="5">
        <v>3400</v>
      </c>
      <c r="CP11" s="5">
        <f t="shared" si="46"/>
        <v>205250</v>
      </c>
      <c r="CQ11" s="5">
        <v>8750</v>
      </c>
      <c r="CR11" s="5">
        <f t="shared" si="47"/>
        <v>214000</v>
      </c>
      <c r="CS11" s="5">
        <v>3400</v>
      </c>
      <c r="CT11" s="5">
        <f t="shared" si="48"/>
        <v>217400</v>
      </c>
      <c r="CU11" s="5"/>
      <c r="CV11" s="5"/>
      <c r="CW11" s="5"/>
      <c r="CX11" s="5"/>
      <c r="CY11" s="5"/>
      <c r="CZ11" s="5"/>
    </row>
    <row r="12" spans="1:104">
      <c r="A12" s="5" t="s">
        <v>31</v>
      </c>
      <c r="B12" s="5">
        <v>0</v>
      </c>
      <c r="C12" s="33">
        <v>2650</v>
      </c>
      <c r="D12" s="33">
        <f t="shared" si="8"/>
        <v>2650</v>
      </c>
      <c r="E12" s="33">
        <v>3500</v>
      </c>
      <c r="F12" s="33">
        <f t="shared" si="50"/>
        <v>6150</v>
      </c>
      <c r="G12" s="33">
        <v>2650</v>
      </c>
      <c r="H12" s="33">
        <f t="shared" si="9"/>
        <v>8800</v>
      </c>
      <c r="I12" s="33">
        <v>5000</v>
      </c>
      <c r="J12" s="33">
        <f t="shared" si="10"/>
        <v>13800</v>
      </c>
      <c r="K12" s="22">
        <v>3500</v>
      </c>
      <c r="L12" s="22">
        <f t="shared" si="11"/>
        <v>17300</v>
      </c>
      <c r="M12" s="33">
        <v>3500</v>
      </c>
      <c r="N12" s="33">
        <f t="shared" si="12"/>
        <v>20800</v>
      </c>
      <c r="O12" s="22">
        <v>2650</v>
      </c>
      <c r="P12" s="22">
        <f t="shared" si="13"/>
        <v>23450</v>
      </c>
      <c r="Q12" s="33">
        <v>5000</v>
      </c>
      <c r="R12" s="33">
        <f t="shared" si="14"/>
        <v>28450</v>
      </c>
      <c r="S12" s="22">
        <v>2650</v>
      </c>
      <c r="T12" s="22">
        <f t="shared" si="15"/>
        <v>31100</v>
      </c>
      <c r="U12" s="33">
        <v>3500</v>
      </c>
      <c r="V12" s="33">
        <f t="shared" si="16"/>
        <v>34600</v>
      </c>
      <c r="W12" s="33">
        <v>2600</v>
      </c>
      <c r="X12" s="22">
        <f t="shared" si="17"/>
        <v>37200</v>
      </c>
      <c r="Y12" s="33">
        <v>7000</v>
      </c>
      <c r="Z12" s="33">
        <f t="shared" si="18"/>
        <v>44200</v>
      </c>
      <c r="AA12" s="22">
        <v>2650</v>
      </c>
      <c r="AB12" s="22">
        <f t="shared" si="19"/>
        <v>46850</v>
      </c>
      <c r="AC12" s="33">
        <v>3500</v>
      </c>
      <c r="AD12" s="33">
        <f t="shared" si="20"/>
        <v>50350</v>
      </c>
      <c r="AE12" s="22">
        <v>2600</v>
      </c>
      <c r="AF12" s="22">
        <f t="shared" si="21"/>
        <v>52950</v>
      </c>
      <c r="AG12" s="33">
        <v>5000</v>
      </c>
      <c r="AH12" s="33">
        <f t="shared" si="22"/>
        <v>57950</v>
      </c>
      <c r="AI12" s="22">
        <v>2650</v>
      </c>
      <c r="AJ12" s="22">
        <f t="shared" si="23"/>
        <v>60600</v>
      </c>
      <c r="AK12" s="22">
        <v>3500</v>
      </c>
      <c r="AL12" s="33">
        <f t="shared" si="24"/>
        <v>64100</v>
      </c>
      <c r="AM12" s="22">
        <v>2650</v>
      </c>
      <c r="AN12" s="22">
        <f t="shared" si="25"/>
        <v>66750</v>
      </c>
      <c r="AO12" s="33">
        <v>5000</v>
      </c>
      <c r="AP12" s="33">
        <f t="shared" si="26"/>
        <v>71750</v>
      </c>
      <c r="AQ12" s="22">
        <v>2650</v>
      </c>
      <c r="AR12" s="22">
        <f t="shared" si="27"/>
        <v>74400</v>
      </c>
      <c r="AS12" s="33">
        <v>3500</v>
      </c>
      <c r="AT12" s="33">
        <f t="shared" si="28"/>
        <v>77900</v>
      </c>
      <c r="AU12" s="22">
        <v>2600</v>
      </c>
      <c r="AV12" s="22">
        <f t="shared" si="29"/>
        <v>80500</v>
      </c>
      <c r="AW12" s="33">
        <v>7000</v>
      </c>
      <c r="AX12" s="33">
        <f t="shared" si="30"/>
        <v>87500</v>
      </c>
      <c r="AY12" s="33">
        <v>2650</v>
      </c>
      <c r="AZ12" s="33">
        <f t="shared" si="31"/>
        <v>90150</v>
      </c>
      <c r="BA12" s="33">
        <v>3500</v>
      </c>
      <c r="BB12" s="33">
        <f t="shared" si="32"/>
        <v>93650</v>
      </c>
      <c r="BC12" s="5">
        <v>2650</v>
      </c>
      <c r="BD12" s="34">
        <f t="shared" si="33"/>
        <v>96300</v>
      </c>
      <c r="BE12" s="34">
        <v>5000</v>
      </c>
      <c r="BF12" s="34">
        <f t="shared" si="34"/>
        <v>101300</v>
      </c>
      <c r="BG12" s="34">
        <v>3500</v>
      </c>
      <c r="BH12" s="34">
        <f t="shared" si="35"/>
        <v>104800</v>
      </c>
      <c r="BI12" s="34">
        <v>3500</v>
      </c>
      <c r="BJ12" s="34">
        <f t="shared" si="36"/>
        <v>108300</v>
      </c>
      <c r="BK12" s="34">
        <v>2650</v>
      </c>
      <c r="BL12" s="5">
        <f t="shared" si="2"/>
        <v>110950</v>
      </c>
      <c r="BM12" s="5">
        <v>5000</v>
      </c>
      <c r="BN12" s="5">
        <f t="shared" si="3"/>
        <v>115950</v>
      </c>
      <c r="BO12" s="5">
        <v>2650</v>
      </c>
      <c r="BP12" s="5">
        <f t="shared" si="4"/>
        <v>118600</v>
      </c>
      <c r="BQ12" s="5">
        <v>3500</v>
      </c>
      <c r="BR12" s="5">
        <f t="shared" si="5"/>
        <v>122100</v>
      </c>
      <c r="BS12" s="5">
        <v>2600</v>
      </c>
      <c r="BT12" s="5">
        <f t="shared" si="6"/>
        <v>124700</v>
      </c>
      <c r="BU12" s="5">
        <v>7000</v>
      </c>
      <c r="BV12" s="5">
        <f t="shared" si="7"/>
        <v>131700</v>
      </c>
      <c r="BW12" s="5">
        <v>2650</v>
      </c>
      <c r="BX12" s="5">
        <f t="shared" si="37"/>
        <v>134350</v>
      </c>
      <c r="BY12" s="5">
        <v>3500</v>
      </c>
      <c r="BZ12" s="5">
        <f t="shared" si="38"/>
        <v>137850</v>
      </c>
      <c r="CA12" s="5">
        <v>5000</v>
      </c>
      <c r="CB12" s="5">
        <f t="shared" si="39"/>
        <v>142850</v>
      </c>
      <c r="CC12" s="5">
        <v>3500</v>
      </c>
      <c r="CD12" s="5">
        <f t="shared" si="40"/>
        <v>146350</v>
      </c>
      <c r="CE12" s="5">
        <v>3500</v>
      </c>
      <c r="CF12" s="5">
        <f t="shared" si="41"/>
        <v>149850</v>
      </c>
      <c r="CG12" s="5">
        <v>2650</v>
      </c>
      <c r="CH12" s="5">
        <f t="shared" si="42"/>
        <v>152500</v>
      </c>
      <c r="CI12" s="5">
        <v>5000</v>
      </c>
      <c r="CJ12" s="5">
        <f t="shared" si="43"/>
        <v>157500</v>
      </c>
      <c r="CK12" s="5">
        <v>2650</v>
      </c>
      <c r="CL12" s="5">
        <f t="shared" si="44"/>
        <v>160150</v>
      </c>
      <c r="CM12" s="5">
        <v>3500</v>
      </c>
      <c r="CN12" s="5">
        <f t="shared" si="45"/>
        <v>163650</v>
      </c>
      <c r="CO12" s="5">
        <v>2600</v>
      </c>
      <c r="CP12" s="5">
        <f t="shared" si="46"/>
        <v>166250</v>
      </c>
      <c r="CQ12" s="5">
        <v>7000</v>
      </c>
      <c r="CR12" s="5">
        <f t="shared" si="47"/>
        <v>173250</v>
      </c>
      <c r="CS12" s="5">
        <v>2650</v>
      </c>
      <c r="CT12" s="5">
        <f t="shared" si="48"/>
        <v>175900</v>
      </c>
      <c r="CU12" s="5"/>
      <c r="CV12" s="5"/>
      <c r="CW12" s="5"/>
      <c r="CX12" s="5"/>
      <c r="CY12" s="5"/>
      <c r="CZ12" s="5"/>
    </row>
    <row r="13" spans="1:104">
      <c r="A13" s="5" t="s">
        <v>120</v>
      </c>
      <c r="B13" s="5">
        <v>0</v>
      </c>
      <c r="C13" s="33">
        <v>0</v>
      </c>
      <c r="D13" s="33">
        <f t="shared" si="8"/>
        <v>0</v>
      </c>
      <c r="E13" s="33">
        <v>300</v>
      </c>
      <c r="F13" s="33">
        <f t="shared" si="50"/>
        <v>300</v>
      </c>
      <c r="G13" s="33">
        <v>300</v>
      </c>
      <c r="H13" s="33">
        <f t="shared" si="9"/>
        <v>600</v>
      </c>
      <c r="I13" s="33">
        <v>300</v>
      </c>
      <c r="J13" s="33">
        <f>I13+H13</f>
        <v>900</v>
      </c>
      <c r="K13" s="22">
        <v>2750</v>
      </c>
      <c r="L13" s="22">
        <f t="shared" si="11"/>
        <v>3650</v>
      </c>
      <c r="M13" s="33">
        <v>2750</v>
      </c>
      <c r="N13" s="33">
        <f t="shared" si="12"/>
        <v>6400</v>
      </c>
      <c r="O13" s="22">
        <v>2750</v>
      </c>
      <c r="P13" s="22">
        <f t="shared" si="13"/>
        <v>9150</v>
      </c>
      <c r="Q13" s="33">
        <v>2750</v>
      </c>
      <c r="R13" s="33">
        <f t="shared" si="14"/>
        <v>11900</v>
      </c>
      <c r="S13" s="22">
        <v>2750</v>
      </c>
      <c r="T13" s="22">
        <f t="shared" si="15"/>
        <v>14650</v>
      </c>
      <c r="U13" s="33">
        <v>2750</v>
      </c>
      <c r="V13" s="33">
        <f t="shared" si="16"/>
        <v>17400</v>
      </c>
      <c r="W13" s="33">
        <v>3000</v>
      </c>
      <c r="X13" s="22">
        <f t="shared" si="17"/>
        <v>20400</v>
      </c>
      <c r="Y13" s="33">
        <v>3000</v>
      </c>
      <c r="Z13" s="33">
        <f t="shared" si="18"/>
        <v>23400</v>
      </c>
      <c r="AA13" s="22">
        <v>3000</v>
      </c>
      <c r="AB13" s="22">
        <f t="shared" si="19"/>
        <v>26400</v>
      </c>
      <c r="AC13" s="33">
        <v>3000</v>
      </c>
      <c r="AD13" s="33">
        <f t="shared" si="20"/>
        <v>29400</v>
      </c>
      <c r="AE13" s="22">
        <v>3000</v>
      </c>
      <c r="AF13" s="22">
        <f t="shared" si="21"/>
        <v>32400</v>
      </c>
      <c r="AG13" s="33">
        <v>3000</v>
      </c>
      <c r="AH13" s="33">
        <f t="shared" si="22"/>
        <v>35400</v>
      </c>
      <c r="AI13" s="22">
        <v>3000</v>
      </c>
      <c r="AJ13" s="22">
        <f t="shared" si="23"/>
        <v>38400</v>
      </c>
      <c r="AK13" s="22">
        <v>3000</v>
      </c>
      <c r="AL13" s="33">
        <f>AK13+AJ13</f>
        <v>41400</v>
      </c>
      <c r="AM13" s="22">
        <v>3000</v>
      </c>
      <c r="AN13" s="22">
        <f t="shared" si="25"/>
        <v>44400</v>
      </c>
      <c r="AO13" s="33">
        <v>3000</v>
      </c>
      <c r="AP13" s="33">
        <f>AO13+AN13</f>
        <v>47400</v>
      </c>
      <c r="AQ13" s="22">
        <v>3000</v>
      </c>
      <c r="AR13" s="22">
        <f t="shared" si="27"/>
        <v>50400</v>
      </c>
      <c r="AS13" s="33">
        <v>3000</v>
      </c>
      <c r="AT13" s="33">
        <f t="shared" si="28"/>
        <v>53400</v>
      </c>
      <c r="AU13" s="22">
        <v>3000</v>
      </c>
      <c r="AV13" s="22">
        <f t="shared" si="29"/>
        <v>56400</v>
      </c>
      <c r="AW13" s="33">
        <v>3000</v>
      </c>
      <c r="AX13" s="33">
        <f t="shared" si="30"/>
        <v>59400</v>
      </c>
      <c r="AY13" s="33">
        <v>0</v>
      </c>
      <c r="AZ13" s="33">
        <f t="shared" si="31"/>
        <v>59400</v>
      </c>
      <c r="BA13" s="33">
        <v>300</v>
      </c>
      <c r="BB13" s="33">
        <f t="shared" si="32"/>
        <v>59700</v>
      </c>
      <c r="BC13" s="5">
        <v>300</v>
      </c>
      <c r="BD13" s="34">
        <f t="shared" si="33"/>
        <v>60000</v>
      </c>
      <c r="BE13" s="34">
        <v>300</v>
      </c>
      <c r="BF13" s="34">
        <f t="shared" si="34"/>
        <v>60300</v>
      </c>
      <c r="BG13" s="34">
        <v>2750</v>
      </c>
      <c r="BH13" s="34">
        <f t="shared" si="35"/>
        <v>63050</v>
      </c>
      <c r="BI13" s="34">
        <v>2750</v>
      </c>
      <c r="BJ13" s="34">
        <f t="shared" si="36"/>
        <v>65800</v>
      </c>
      <c r="BK13" s="34">
        <v>2750</v>
      </c>
      <c r="BL13" s="5">
        <f t="shared" si="2"/>
        <v>68550</v>
      </c>
      <c r="BM13" s="5">
        <v>2750</v>
      </c>
      <c r="BN13" s="5">
        <f t="shared" si="3"/>
        <v>71300</v>
      </c>
      <c r="BO13" s="5">
        <v>2750</v>
      </c>
      <c r="BP13" s="5">
        <f t="shared" si="4"/>
        <v>74050</v>
      </c>
      <c r="BQ13" s="5">
        <v>2750</v>
      </c>
      <c r="BR13" s="5">
        <f t="shared" si="5"/>
        <v>76800</v>
      </c>
      <c r="BS13" s="5">
        <v>3000</v>
      </c>
      <c r="BT13" s="5">
        <f t="shared" si="6"/>
        <v>79800</v>
      </c>
      <c r="BU13" s="5">
        <v>3000</v>
      </c>
      <c r="BV13" s="5">
        <f t="shared" si="7"/>
        <v>82800</v>
      </c>
      <c r="BW13" s="5">
        <v>0</v>
      </c>
      <c r="BX13" s="5">
        <f t="shared" si="37"/>
        <v>82800</v>
      </c>
      <c r="BY13" s="5">
        <v>300</v>
      </c>
      <c r="BZ13" s="5">
        <f t="shared" si="38"/>
        <v>83100</v>
      </c>
      <c r="CA13" s="5">
        <v>300</v>
      </c>
      <c r="CB13" s="5">
        <f t="shared" si="39"/>
        <v>83400</v>
      </c>
      <c r="CC13" s="5">
        <v>2750</v>
      </c>
      <c r="CD13" s="5">
        <f t="shared" si="40"/>
        <v>86150</v>
      </c>
      <c r="CE13" s="5">
        <v>2750</v>
      </c>
      <c r="CF13" s="5">
        <f t="shared" si="41"/>
        <v>88900</v>
      </c>
      <c r="CG13" s="5">
        <v>2750</v>
      </c>
      <c r="CH13" s="5">
        <f t="shared" si="42"/>
        <v>91650</v>
      </c>
      <c r="CI13" s="5">
        <v>2750</v>
      </c>
      <c r="CJ13" s="5">
        <f t="shared" si="43"/>
        <v>94400</v>
      </c>
      <c r="CK13" s="5">
        <v>2750</v>
      </c>
      <c r="CL13" s="5">
        <f t="shared" si="44"/>
        <v>97150</v>
      </c>
      <c r="CM13" s="5">
        <v>2750</v>
      </c>
      <c r="CN13" s="5">
        <f t="shared" si="45"/>
        <v>99900</v>
      </c>
      <c r="CO13" s="5">
        <v>3000</v>
      </c>
      <c r="CP13" s="5">
        <f t="shared" si="46"/>
        <v>102900</v>
      </c>
      <c r="CQ13" s="5">
        <v>3000</v>
      </c>
      <c r="CR13" s="5">
        <f t="shared" si="47"/>
        <v>105900</v>
      </c>
      <c r="CS13" s="5">
        <v>0</v>
      </c>
      <c r="CT13" s="5">
        <f t="shared" si="48"/>
        <v>105900</v>
      </c>
      <c r="CU13" s="5"/>
      <c r="CV13" s="5"/>
      <c r="CW13" s="5"/>
      <c r="CX13" s="5"/>
      <c r="CY13" s="5"/>
      <c r="CZ13" s="5"/>
    </row>
    <row r="14" spans="1:104">
      <c r="A14" s="5" t="s">
        <v>119</v>
      </c>
      <c r="B14" s="5">
        <v>0</v>
      </c>
      <c r="C14" s="33">
        <v>0</v>
      </c>
      <c r="D14" s="33">
        <f t="shared" si="8"/>
        <v>0</v>
      </c>
      <c r="E14" s="33">
        <v>300</v>
      </c>
      <c r="F14" s="33">
        <f t="shared" ref="F14" si="51">E14+D14</f>
        <v>300</v>
      </c>
      <c r="G14" s="33">
        <v>300</v>
      </c>
      <c r="H14" s="33">
        <f t="shared" ref="H14" si="52">G14+F14</f>
        <v>600</v>
      </c>
      <c r="I14" s="33">
        <v>300</v>
      </c>
      <c r="J14" s="33">
        <f>I14+H14</f>
        <v>900</v>
      </c>
      <c r="K14" s="22">
        <v>2750</v>
      </c>
      <c r="L14" s="22">
        <f t="shared" ref="L14" si="53">K14+J14</f>
        <v>3650</v>
      </c>
      <c r="M14" s="33">
        <v>2750</v>
      </c>
      <c r="N14" s="33">
        <f t="shared" ref="N14" si="54">M14+L14</f>
        <v>6400</v>
      </c>
      <c r="O14" s="22">
        <v>2750</v>
      </c>
      <c r="P14" s="22">
        <f t="shared" ref="P14" si="55">O14+N14</f>
        <v>9150</v>
      </c>
      <c r="Q14" s="33">
        <v>2750</v>
      </c>
      <c r="R14" s="33">
        <f t="shared" ref="R14" si="56">Q14+P14</f>
        <v>11900</v>
      </c>
      <c r="S14" s="22">
        <v>2750</v>
      </c>
      <c r="T14" s="22">
        <f t="shared" ref="T14" si="57">S14+R14</f>
        <v>14650</v>
      </c>
      <c r="U14" s="33">
        <v>2750</v>
      </c>
      <c r="V14" s="33">
        <f t="shared" ref="V14" si="58">U14+T14</f>
        <v>17400</v>
      </c>
      <c r="W14" s="33">
        <v>3000</v>
      </c>
      <c r="X14" s="22">
        <f t="shared" ref="X14" si="59">W14+V14</f>
        <v>20400</v>
      </c>
      <c r="Y14" s="33">
        <v>3000</v>
      </c>
      <c r="Z14" s="33">
        <f t="shared" ref="Z14" si="60">Y14+X14</f>
        <v>23400</v>
      </c>
      <c r="AA14" s="22">
        <v>3000</v>
      </c>
      <c r="AB14" s="22">
        <f t="shared" ref="AB14" si="61">AA14+Z14</f>
        <v>26400</v>
      </c>
      <c r="AC14" s="33">
        <v>3000</v>
      </c>
      <c r="AD14" s="33">
        <f t="shared" ref="AD14" si="62">AC14+AB14</f>
        <v>29400</v>
      </c>
      <c r="AE14" s="22">
        <v>3000</v>
      </c>
      <c r="AF14" s="22">
        <f t="shared" ref="AF14" si="63">AE14+AD14</f>
        <v>32400</v>
      </c>
      <c r="AG14" s="33">
        <v>3000</v>
      </c>
      <c r="AH14" s="33">
        <f t="shared" ref="AH14" si="64">AG14+AF14</f>
        <v>35400</v>
      </c>
      <c r="AI14" s="22">
        <v>3000</v>
      </c>
      <c r="AJ14" s="22">
        <f t="shared" ref="AJ14" si="65">AI14+AH14</f>
        <v>38400</v>
      </c>
      <c r="AK14" s="22">
        <v>3000</v>
      </c>
      <c r="AL14" s="33">
        <f>AK14+AJ14</f>
        <v>41400</v>
      </c>
      <c r="AM14" s="22">
        <v>3000</v>
      </c>
      <c r="AN14" s="22">
        <f t="shared" ref="AN14" si="66">AM14+AL14</f>
        <v>44400</v>
      </c>
      <c r="AO14" s="33">
        <v>3000</v>
      </c>
      <c r="AP14" s="33">
        <f>AO14+AN14</f>
        <v>47400</v>
      </c>
      <c r="AQ14" s="22">
        <v>3000</v>
      </c>
      <c r="AR14" s="22">
        <f t="shared" ref="AR14" si="67">AQ14+AP14</f>
        <v>50400</v>
      </c>
      <c r="AS14" s="33">
        <v>3000</v>
      </c>
      <c r="AT14" s="33">
        <f t="shared" ref="AT14" si="68">AS14+AR14</f>
        <v>53400</v>
      </c>
      <c r="AU14" s="22">
        <v>3000</v>
      </c>
      <c r="AV14" s="22">
        <f t="shared" ref="AV14" si="69">AU14+AT14</f>
        <v>56400</v>
      </c>
      <c r="AW14" s="33">
        <v>3000</v>
      </c>
      <c r="AX14" s="33">
        <f t="shared" ref="AX14" si="70">AW14+AV14</f>
        <v>59400</v>
      </c>
      <c r="AY14" s="33">
        <v>0</v>
      </c>
      <c r="AZ14" s="33">
        <f t="shared" ref="AZ14" si="71">AY14+AX14</f>
        <v>59400</v>
      </c>
      <c r="BA14" s="33">
        <v>300</v>
      </c>
      <c r="BB14" s="33">
        <f t="shared" ref="BB14" si="72">BA14+AZ14</f>
        <v>59700</v>
      </c>
      <c r="BC14" s="5">
        <v>300</v>
      </c>
      <c r="BD14" s="34">
        <f t="shared" ref="BD14" si="73">BC14+BB14</f>
        <v>60000</v>
      </c>
      <c r="BE14" s="34">
        <v>300</v>
      </c>
      <c r="BF14" s="34">
        <f t="shared" ref="BF14" si="74">BE14+BD14</f>
        <v>60300</v>
      </c>
      <c r="BG14" s="34">
        <v>2750</v>
      </c>
      <c r="BH14" s="34">
        <f t="shared" ref="BH14" si="75">BG14+BF14</f>
        <v>63050</v>
      </c>
      <c r="BI14" s="34">
        <v>2750</v>
      </c>
      <c r="BJ14" s="34">
        <f t="shared" ref="BJ14" si="76">BI14+BH14</f>
        <v>65800</v>
      </c>
      <c r="BK14" s="34">
        <v>2750</v>
      </c>
      <c r="BL14" s="5">
        <f t="shared" si="2"/>
        <v>68550</v>
      </c>
      <c r="BM14" s="5">
        <v>2750</v>
      </c>
      <c r="BN14" s="5">
        <f t="shared" si="3"/>
        <v>71300</v>
      </c>
      <c r="BO14" s="5">
        <v>2750</v>
      </c>
      <c r="BP14" s="5">
        <f t="shared" si="4"/>
        <v>74050</v>
      </c>
      <c r="BQ14" s="5">
        <v>2750</v>
      </c>
      <c r="BR14" s="5">
        <f t="shared" si="5"/>
        <v>76800</v>
      </c>
      <c r="BS14" s="5">
        <v>3000</v>
      </c>
      <c r="BT14" s="5">
        <f t="shared" si="6"/>
        <v>79800</v>
      </c>
      <c r="BU14" s="5">
        <v>3000</v>
      </c>
      <c r="BV14" s="5">
        <f t="shared" si="7"/>
        <v>82800</v>
      </c>
      <c r="BW14" s="5">
        <v>0</v>
      </c>
      <c r="BX14" s="5">
        <f t="shared" si="37"/>
        <v>82800</v>
      </c>
      <c r="BY14" s="5">
        <v>300</v>
      </c>
      <c r="BZ14" s="5">
        <f t="shared" si="38"/>
        <v>83100</v>
      </c>
      <c r="CA14" s="5">
        <v>300</v>
      </c>
      <c r="CB14" s="5">
        <f t="shared" si="39"/>
        <v>83400</v>
      </c>
      <c r="CC14" s="5">
        <v>2750</v>
      </c>
      <c r="CD14" s="5">
        <f t="shared" si="40"/>
        <v>86150</v>
      </c>
      <c r="CE14" s="5">
        <v>2750</v>
      </c>
      <c r="CF14" s="5">
        <f t="shared" si="41"/>
        <v>88900</v>
      </c>
      <c r="CG14" s="5">
        <v>2750</v>
      </c>
      <c r="CH14" s="5">
        <f t="shared" si="42"/>
        <v>91650</v>
      </c>
      <c r="CI14" s="5">
        <v>2750</v>
      </c>
      <c r="CJ14" s="5">
        <f t="shared" si="43"/>
        <v>94400</v>
      </c>
      <c r="CK14" s="5">
        <v>2750</v>
      </c>
      <c r="CL14" s="5">
        <f t="shared" si="44"/>
        <v>97150</v>
      </c>
      <c r="CM14" s="5">
        <v>2750</v>
      </c>
      <c r="CN14" s="5">
        <f t="shared" si="45"/>
        <v>99900</v>
      </c>
      <c r="CO14" s="5">
        <v>3000</v>
      </c>
      <c r="CP14" s="5">
        <f t="shared" si="46"/>
        <v>102900</v>
      </c>
      <c r="CQ14" s="5">
        <v>3000</v>
      </c>
      <c r="CR14" s="5">
        <f t="shared" si="47"/>
        <v>105900</v>
      </c>
      <c r="CS14" s="5">
        <v>0</v>
      </c>
      <c r="CT14" s="5">
        <f t="shared" si="48"/>
        <v>105900</v>
      </c>
      <c r="CU14" s="5"/>
      <c r="CV14" s="5"/>
      <c r="CW14" s="5"/>
      <c r="CX14" s="5"/>
      <c r="CY14" s="5"/>
      <c r="CZ14" s="5"/>
    </row>
    <row r="15" spans="1:104">
      <c r="A15" s="5" t="s">
        <v>122</v>
      </c>
      <c r="B15" s="5">
        <v>0</v>
      </c>
      <c r="C15" s="33">
        <v>0</v>
      </c>
      <c r="D15" s="33">
        <f t="shared" si="8"/>
        <v>0</v>
      </c>
      <c r="E15" s="33">
        <v>1400</v>
      </c>
      <c r="F15" s="33">
        <f t="shared" si="50"/>
        <v>1400</v>
      </c>
      <c r="G15" s="33">
        <v>0</v>
      </c>
      <c r="H15" s="33">
        <f t="shared" si="9"/>
        <v>1400</v>
      </c>
      <c r="I15" s="33">
        <v>1100</v>
      </c>
      <c r="J15" s="33">
        <f t="shared" si="10"/>
        <v>2500</v>
      </c>
      <c r="K15" s="22">
        <v>3250</v>
      </c>
      <c r="L15" s="22">
        <f t="shared" si="11"/>
        <v>5750</v>
      </c>
      <c r="M15" s="33">
        <v>3250</v>
      </c>
      <c r="N15" s="33">
        <f t="shared" si="12"/>
        <v>9000</v>
      </c>
      <c r="O15" s="22">
        <v>700</v>
      </c>
      <c r="P15" s="22">
        <f t="shared" si="13"/>
        <v>9700</v>
      </c>
      <c r="Q15" s="33">
        <v>2750</v>
      </c>
      <c r="R15" s="33">
        <f t="shared" si="14"/>
        <v>12450</v>
      </c>
      <c r="S15" s="22">
        <v>700</v>
      </c>
      <c r="T15" s="22">
        <f t="shared" si="15"/>
        <v>13150</v>
      </c>
      <c r="U15" s="33">
        <v>3750</v>
      </c>
      <c r="V15" s="33">
        <f t="shared" si="16"/>
        <v>16900</v>
      </c>
      <c r="W15" s="33">
        <v>3250</v>
      </c>
      <c r="X15" s="22">
        <f t="shared" si="17"/>
        <v>20150</v>
      </c>
      <c r="Y15" s="33">
        <v>4000</v>
      </c>
      <c r="Z15" s="33">
        <f t="shared" si="18"/>
        <v>24150</v>
      </c>
      <c r="AA15" s="22">
        <v>4000</v>
      </c>
      <c r="AB15" s="22">
        <f t="shared" si="19"/>
        <v>28150</v>
      </c>
      <c r="AC15" s="33">
        <v>4000</v>
      </c>
      <c r="AD15" s="33">
        <f t="shared" si="20"/>
        <v>32150</v>
      </c>
      <c r="AE15" s="22">
        <v>4000</v>
      </c>
      <c r="AF15" s="22">
        <f t="shared" si="21"/>
        <v>36150</v>
      </c>
      <c r="AG15" s="33">
        <v>4000</v>
      </c>
      <c r="AH15" s="33">
        <f t="shared" si="22"/>
        <v>40150</v>
      </c>
      <c r="AI15" s="22">
        <v>4000</v>
      </c>
      <c r="AJ15" s="22">
        <f t="shared" si="23"/>
        <v>44150</v>
      </c>
      <c r="AK15" s="22">
        <v>4000</v>
      </c>
      <c r="AL15" s="33">
        <f t="shared" si="24"/>
        <v>48150</v>
      </c>
      <c r="AM15" s="22">
        <v>4000</v>
      </c>
      <c r="AN15" s="22">
        <f t="shared" si="25"/>
        <v>52150</v>
      </c>
      <c r="AO15" s="33">
        <v>4000</v>
      </c>
      <c r="AP15" s="33">
        <f t="shared" si="26"/>
        <v>56150</v>
      </c>
      <c r="AQ15" s="22">
        <v>4000</v>
      </c>
      <c r="AR15" s="22">
        <f t="shared" si="27"/>
        <v>60150</v>
      </c>
      <c r="AS15" s="33">
        <v>4000</v>
      </c>
      <c r="AT15" s="33">
        <f t="shared" si="28"/>
        <v>64150</v>
      </c>
      <c r="AU15" s="22">
        <v>4000</v>
      </c>
      <c r="AV15" s="22">
        <f t="shared" si="29"/>
        <v>68150</v>
      </c>
      <c r="AW15" s="33">
        <v>4000</v>
      </c>
      <c r="AX15" s="33">
        <f t="shared" si="30"/>
        <v>72150</v>
      </c>
      <c r="AY15" s="33">
        <v>0</v>
      </c>
      <c r="AZ15" s="33">
        <f t="shared" si="31"/>
        <v>72150</v>
      </c>
      <c r="BA15" s="33">
        <v>1400</v>
      </c>
      <c r="BB15" s="33">
        <f t="shared" si="32"/>
        <v>73550</v>
      </c>
      <c r="BC15" s="5">
        <v>0</v>
      </c>
      <c r="BD15" s="34">
        <f t="shared" si="33"/>
        <v>73550</v>
      </c>
      <c r="BE15" s="34">
        <v>1100</v>
      </c>
      <c r="BF15" s="34">
        <f t="shared" si="34"/>
        <v>74650</v>
      </c>
      <c r="BG15" s="34">
        <v>3250</v>
      </c>
      <c r="BH15" s="34">
        <f t="shared" si="35"/>
        <v>77900</v>
      </c>
      <c r="BI15" s="34">
        <v>3250</v>
      </c>
      <c r="BJ15" s="34">
        <f t="shared" si="36"/>
        <v>81150</v>
      </c>
      <c r="BK15" s="34">
        <v>700</v>
      </c>
      <c r="BL15" s="5">
        <f t="shared" si="2"/>
        <v>81850</v>
      </c>
      <c r="BM15" s="5">
        <v>2750</v>
      </c>
      <c r="BN15" s="5">
        <f t="shared" si="3"/>
        <v>84600</v>
      </c>
      <c r="BO15" s="5">
        <v>700</v>
      </c>
      <c r="BP15" s="5">
        <f t="shared" si="4"/>
        <v>85300</v>
      </c>
      <c r="BQ15" s="5">
        <v>3750</v>
      </c>
      <c r="BR15" s="5">
        <f t="shared" si="5"/>
        <v>89050</v>
      </c>
      <c r="BS15" s="5">
        <v>3250</v>
      </c>
      <c r="BT15" s="5">
        <f t="shared" si="6"/>
        <v>92300</v>
      </c>
      <c r="BU15" s="5">
        <v>4000</v>
      </c>
      <c r="BV15" s="5">
        <f t="shared" si="7"/>
        <v>96300</v>
      </c>
      <c r="BW15" s="5">
        <v>0</v>
      </c>
      <c r="BX15" s="5">
        <f t="shared" si="37"/>
        <v>96300</v>
      </c>
      <c r="BY15" s="5">
        <v>1400</v>
      </c>
      <c r="BZ15" s="5">
        <f t="shared" si="38"/>
        <v>97700</v>
      </c>
      <c r="CA15" s="5">
        <v>1100</v>
      </c>
      <c r="CB15" s="5">
        <f t="shared" si="39"/>
        <v>98800</v>
      </c>
      <c r="CC15" s="5">
        <v>3250</v>
      </c>
      <c r="CD15" s="5">
        <f t="shared" si="40"/>
        <v>102050</v>
      </c>
      <c r="CE15" s="5">
        <v>3250</v>
      </c>
      <c r="CF15" s="5">
        <f t="shared" si="41"/>
        <v>105300</v>
      </c>
      <c r="CG15" s="5">
        <v>700</v>
      </c>
      <c r="CH15" s="5">
        <f t="shared" si="42"/>
        <v>106000</v>
      </c>
      <c r="CI15" s="5">
        <v>2750</v>
      </c>
      <c r="CJ15" s="5">
        <f t="shared" si="43"/>
        <v>108750</v>
      </c>
      <c r="CK15" s="5">
        <v>700</v>
      </c>
      <c r="CL15" s="5">
        <f t="shared" si="44"/>
        <v>109450</v>
      </c>
      <c r="CM15" s="5">
        <v>3750</v>
      </c>
      <c r="CN15" s="5">
        <f t="shared" si="45"/>
        <v>113200</v>
      </c>
      <c r="CO15" s="5">
        <v>3250</v>
      </c>
      <c r="CP15" s="5">
        <f t="shared" si="46"/>
        <v>116450</v>
      </c>
      <c r="CQ15" s="5">
        <v>4000</v>
      </c>
      <c r="CR15" s="5">
        <f t="shared" si="47"/>
        <v>120450</v>
      </c>
      <c r="CS15" s="5">
        <v>0</v>
      </c>
      <c r="CT15" s="5">
        <f t="shared" si="48"/>
        <v>120450</v>
      </c>
      <c r="CU15" s="5"/>
      <c r="CV15" s="5"/>
      <c r="CW15" s="5"/>
      <c r="CX15" s="5"/>
      <c r="CY15" s="5"/>
      <c r="CZ15" s="5"/>
    </row>
    <row r="16" spans="1:104">
      <c r="A16" s="5" t="s">
        <v>121</v>
      </c>
      <c r="B16" s="5">
        <v>0</v>
      </c>
      <c r="C16" s="33">
        <v>0</v>
      </c>
      <c r="D16" s="33">
        <f t="shared" si="8"/>
        <v>0</v>
      </c>
      <c r="E16" s="33">
        <v>1400</v>
      </c>
      <c r="F16" s="33">
        <f t="shared" ref="F16" si="77">E16+D16</f>
        <v>1400</v>
      </c>
      <c r="G16" s="33">
        <v>0</v>
      </c>
      <c r="H16" s="33">
        <f t="shared" ref="H16" si="78">G16+F16</f>
        <v>1400</v>
      </c>
      <c r="I16" s="33">
        <v>1100</v>
      </c>
      <c r="J16" s="33">
        <f t="shared" ref="J16" si="79">I16+H16</f>
        <v>2500</v>
      </c>
      <c r="K16" s="22">
        <v>3250</v>
      </c>
      <c r="L16" s="22">
        <f t="shared" ref="L16" si="80">K16+J16</f>
        <v>5750</v>
      </c>
      <c r="M16" s="33">
        <v>3250</v>
      </c>
      <c r="N16" s="33">
        <f t="shared" ref="N16" si="81">M16+L16</f>
        <v>9000</v>
      </c>
      <c r="O16" s="22">
        <v>700</v>
      </c>
      <c r="P16" s="22">
        <f t="shared" ref="P16" si="82">O16+N16</f>
        <v>9700</v>
      </c>
      <c r="Q16" s="33">
        <v>2750</v>
      </c>
      <c r="R16" s="33">
        <f t="shared" ref="R16" si="83">Q16+P16</f>
        <v>12450</v>
      </c>
      <c r="S16" s="22">
        <v>700</v>
      </c>
      <c r="T16" s="22">
        <f t="shared" ref="T16" si="84">S16+R16</f>
        <v>13150</v>
      </c>
      <c r="U16" s="33">
        <v>3750</v>
      </c>
      <c r="V16" s="33">
        <f t="shared" ref="V16" si="85">U16+T16</f>
        <v>16900</v>
      </c>
      <c r="W16" s="33">
        <v>3250</v>
      </c>
      <c r="X16" s="22">
        <f t="shared" ref="X16" si="86">W16+V16</f>
        <v>20150</v>
      </c>
      <c r="Y16" s="33">
        <v>4000</v>
      </c>
      <c r="Z16" s="33">
        <f t="shared" ref="Z16" si="87">Y16+X16</f>
        <v>24150</v>
      </c>
      <c r="AA16" s="22">
        <v>4000</v>
      </c>
      <c r="AB16" s="22">
        <f t="shared" ref="AB16" si="88">AA16+Z16</f>
        <v>28150</v>
      </c>
      <c r="AC16" s="33">
        <v>4000</v>
      </c>
      <c r="AD16" s="33">
        <f t="shared" ref="AD16" si="89">AC16+AB16</f>
        <v>32150</v>
      </c>
      <c r="AE16" s="22">
        <v>4000</v>
      </c>
      <c r="AF16" s="22">
        <f t="shared" ref="AF16" si="90">AE16+AD16</f>
        <v>36150</v>
      </c>
      <c r="AG16" s="33">
        <v>4000</v>
      </c>
      <c r="AH16" s="33">
        <f t="shared" ref="AH16" si="91">AG16+AF16</f>
        <v>40150</v>
      </c>
      <c r="AI16" s="22">
        <v>4000</v>
      </c>
      <c r="AJ16" s="22">
        <f t="shared" ref="AJ16" si="92">AI16+AH16</f>
        <v>44150</v>
      </c>
      <c r="AK16" s="22">
        <v>4000</v>
      </c>
      <c r="AL16" s="33">
        <f t="shared" ref="AL16" si="93">AK16+AJ16</f>
        <v>48150</v>
      </c>
      <c r="AM16" s="22">
        <v>4000</v>
      </c>
      <c r="AN16" s="22">
        <f t="shared" ref="AN16" si="94">AM16+AL16</f>
        <v>52150</v>
      </c>
      <c r="AO16" s="33">
        <v>4000</v>
      </c>
      <c r="AP16" s="33">
        <f t="shared" ref="AP16" si="95">AO16+AN16</f>
        <v>56150</v>
      </c>
      <c r="AQ16" s="22">
        <v>4000</v>
      </c>
      <c r="AR16" s="22">
        <f t="shared" ref="AR16" si="96">AQ16+AP16</f>
        <v>60150</v>
      </c>
      <c r="AS16" s="33">
        <v>4000</v>
      </c>
      <c r="AT16" s="33">
        <f t="shared" ref="AT16" si="97">AS16+AR16</f>
        <v>64150</v>
      </c>
      <c r="AU16" s="22">
        <v>4000</v>
      </c>
      <c r="AV16" s="22">
        <f t="shared" ref="AV16" si="98">AU16+AT16</f>
        <v>68150</v>
      </c>
      <c r="AW16" s="33">
        <v>4000</v>
      </c>
      <c r="AX16" s="33">
        <f t="shared" ref="AX16" si="99">AW16+AV16</f>
        <v>72150</v>
      </c>
      <c r="AY16" s="33">
        <v>0</v>
      </c>
      <c r="AZ16" s="33">
        <f t="shared" ref="AZ16" si="100">AY16+AX16</f>
        <v>72150</v>
      </c>
      <c r="BA16" s="33">
        <v>1400</v>
      </c>
      <c r="BB16" s="33">
        <f t="shared" ref="BB16" si="101">BA16+AZ16</f>
        <v>73550</v>
      </c>
      <c r="BC16" s="5">
        <v>0</v>
      </c>
      <c r="BD16" s="34">
        <f t="shared" ref="BD16" si="102">BC16+BB16</f>
        <v>73550</v>
      </c>
      <c r="BE16" s="34">
        <v>1100</v>
      </c>
      <c r="BF16" s="34">
        <f t="shared" ref="BF16" si="103">BE16+BD16</f>
        <v>74650</v>
      </c>
      <c r="BG16" s="34">
        <v>3250</v>
      </c>
      <c r="BH16" s="34">
        <f t="shared" ref="BH16" si="104">BG16+BF16</f>
        <v>77900</v>
      </c>
      <c r="BI16" s="34">
        <v>3250</v>
      </c>
      <c r="BJ16" s="34">
        <f t="shared" ref="BJ16" si="105">BI16+BH16</f>
        <v>81150</v>
      </c>
      <c r="BK16" s="34">
        <v>700</v>
      </c>
      <c r="BL16" s="5">
        <f t="shared" si="2"/>
        <v>81850</v>
      </c>
      <c r="BM16" s="5">
        <v>2750</v>
      </c>
      <c r="BN16" s="5">
        <f t="shared" si="3"/>
        <v>84600</v>
      </c>
      <c r="BO16" s="5">
        <v>700</v>
      </c>
      <c r="BP16" s="5">
        <f t="shared" si="4"/>
        <v>85300</v>
      </c>
      <c r="BQ16" s="5">
        <v>3750</v>
      </c>
      <c r="BR16" s="5">
        <f t="shared" si="5"/>
        <v>89050</v>
      </c>
      <c r="BS16" s="5">
        <v>3250</v>
      </c>
      <c r="BT16" s="5">
        <f t="shared" si="6"/>
        <v>92300</v>
      </c>
      <c r="BU16" s="5">
        <v>4000</v>
      </c>
      <c r="BV16" s="5">
        <f t="shared" si="7"/>
        <v>96300</v>
      </c>
      <c r="BW16" s="5">
        <v>0</v>
      </c>
      <c r="BX16" s="5">
        <f t="shared" si="37"/>
        <v>96300</v>
      </c>
      <c r="BY16" s="5">
        <v>1400</v>
      </c>
      <c r="BZ16" s="5">
        <f t="shared" si="38"/>
        <v>97700</v>
      </c>
      <c r="CA16" s="5">
        <v>1100</v>
      </c>
      <c r="CB16" s="5">
        <f t="shared" si="39"/>
        <v>98800</v>
      </c>
      <c r="CC16" s="5">
        <v>3250</v>
      </c>
      <c r="CD16" s="5">
        <f t="shared" si="40"/>
        <v>102050</v>
      </c>
      <c r="CE16" s="5">
        <v>3250</v>
      </c>
      <c r="CF16" s="5">
        <f t="shared" si="41"/>
        <v>105300</v>
      </c>
      <c r="CG16" s="5">
        <v>700</v>
      </c>
      <c r="CH16" s="5">
        <f t="shared" si="42"/>
        <v>106000</v>
      </c>
      <c r="CI16" s="5">
        <v>2750</v>
      </c>
      <c r="CJ16" s="5">
        <f t="shared" si="43"/>
        <v>108750</v>
      </c>
      <c r="CK16" s="5">
        <v>700</v>
      </c>
      <c r="CL16" s="5">
        <f t="shared" si="44"/>
        <v>109450</v>
      </c>
      <c r="CM16" s="5">
        <v>3750</v>
      </c>
      <c r="CN16" s="5">
        <f t="shared" si="45"/>
        <v>113200</v>
      </c>
      <c r="CO16" s="5">
        <v>3250</v>
      </c>
      <c r="CP16" s="5">
        <f t="shared" si="46"/>
        <v>116450</v>
      </c>
      <c r="CQ16" s="5">
        <v>4000</v>
      </c>
      <c r="CR16" s="5">
        <f t="shared" si="47"/>
        <v>120450</v>
      </c>
      <c r="CS16" s="5">
        <v>0</v>
      </c>
      <c r="CT16" s="5">
        <f t="shared" si="48"/>
        <v>120450</v>
      </c>
      <c r="CU16" s="5"/>
      <c r="CV16" s="5"/>
      <c r="CW16" s="5"/>
      <c r="CX16" s="5"/>
      <c r="CY16" s="5"/>
      <c r="CZ16" s="5"/>
    </row>
    <row r="17" spans="1:104">
      <c r="A17" s="5" t="s">
        <v>118</v>
      </c>
      <c r="B17" s="5">
        <v>1300</v>
      </c>
      <c r="C17" s="33">
        <v>0</v>
      </c>
      <c r="D17" s="33">
        <f t="shared" si="8"/>
        <v>1300</v>
      </c>
      <c r="E17" s="33">
        <v>2000</v>
      </c>
      <c r="F17" s="33">
        <f t="shared" si="50"/>
        <v>3300</v>
      </c>
      <c r="G17" s="33">
        <v>0</v>
      </c>
      <c r="H17" s="33">
        <f>G17+F17</f>
        <v>3300</v>
      </c>
      <c r="I17" s="33">
        <v>3750</v>
      </c>
      <c r="J17" s="33">
        <f>I17+H17</f>
        <v>7050</v>
      </c>
      <c r="K17" s="22">
        <v>2500</v>
      </c>
      <c r="L17" s="22">
        <f>K17+J17</f>
        <v>9550</v>
      </c>
      <c r="M17" s="33">
        <v>2500</v>
      </c>
      <c r="N17" s="33">
        <f>M17+L17</f>
        <v>12050</v>
      </c>
      <c r="O17" s="22">
        <v>0</v>
      </c>
      <c r="P17" s="22">
        <f>O17+N17</f>
        <v>12050</v>
      </c>
      <c r="Q17" s="33">
        <v>5750</v>
      </c>
      <c r="R17" s="33">
        <f>Q17+P17</f>
        <v>17800</v>
      </c>
      <c r="S17" s="22">
        <v>0</v>
      </c>
      <c r="T17" s="22">
        <f>S17+R17</f>
        <v>17800</v>
      </c>
      <c r="U17" s="33">
        <v>2000</v>
      </c>
      <c r="V17" s="33">
        <f>U17+T17</f>
        <v>19800</v>
      </c>
      <c r="W17" s="33">
        <v>0</v>
      </c>
      <c r="X17" s="22">
        <f>W17+V17</f>
        <v>19800</v>
      </c>
      <c r="Y17" s="33">
        <v>4750</v>
      </c>
      <c r="Z17" s="33">
        <f>Y17+X17</f>
        <v>24550</v>
      </c>
      <c r="AA17" s="22">
        <v>0</v>
      </c>
      <c r="AB17" s="22">
        <f>AA17+Z17</f>
        <v>24550</v>
      </c>
      <c r="AC17" s="33">
        <v>2000</v>
      </c>
      <c r="AD17" s="33">
        <f>AC17+AB17</f>
        <v>26550</v>
      </c>
      <c r="AE17" s="22">
        <v>0</v>
      </c>
      <c r="AF17" s="22">
        <f>AE17+AD17</f>
        <v>26550</v>
      </c>
      <c r="AG17" s="33">
        <v>7250</v>
      </c>
      <c r="AH17" s="33">
        <f>AG17+AF17</f>
        <v>33800</v>
      </c>
      <c r="AI17" s="22">
        <v>0</v>
      </c>
      <c r="AJ17" s="22">
        <f>AI17+AH17</f>
        <v>33800</v>
      </c>
      <c r="AK17" s="22">
        <v>2000</v>
      </c>
      <c r="AL17" s="33">
        <f>AK17+AJ17</f>
        <v>35800</v>
      </c>
      <c r="AM17" s="22">
        <v>0</v>
      </c>
      <c r="AN17" s="22">
        <f>AM17+AL17</f>
        <v>35800</v>
      </c>
      <c r="AO17" s="33">
        <v>6750</v>
      </c>
      <c r="AP17" s="33">
        <f>AO17+AN17</f>
        <v>42550</v>
      </c>
      <c r="AQ17" s="22">
        <v>0</v>
      </c>
      <c r="AR17" s="22">
        <f>AQ17+AP17</f>
        <v>42550</v>
      </c>
      <c r="AS17" s="33">
        <v>2000</v>
      </c>
      <c r="AT17" s="33">
        <f>AS17+AR17</f>
        <v>44550</v>
      </c>
      <c r="AU17" s="22">
        <v>0</v>
      </c>
      <c r="AV17" s="22">
        <f>AU17+AT17</f>
        <v>44550</v>
      </c>
      <c r="AW17" s="33">
        <v>4150</v>
      </c>
      <c r="AX17" s="33">
        <f>AW17+AV17</f>
        <v>48700</v>
      </c>
      <c r="AY17" s="33">
        <v>0</v>
      </c>
      <c r="AZ17" s="33">
        <f>AY17+AX17</f>
        <v>48700</v>
      </c>
      <c r="BA17" s="33">
        <v>2000</v>
      </c>
      <c r="BB17" s="33">
        <f>BA17+AZ17</f>
        <v>50700</v>
      </c>
      <c r="BC17" s="5">
        <v>0</v>
      </c>
      <c r="BD17" s="33">
        <f>BC17+BB17</f>
        <v>50700</v>
      </c>
      <c r="BE17" s="34">
        <v>3750</v>
      </c>
      <c r="BF17" s="33">
        <f>BE17+BD17</f>
        <v>54450</v>
      </c>
      <c r="BG17" s="33">
        <v>2500</v>
      </c>
      <c r="BH17" s="33">
        <f>BG17+BF17</f>
        <v>56950</v>
      </c>
      <c r="BI17" s="33">
        <v>2500</v>
      </c>
      <c r="BJ17" s="33">
        <f>BI17+BH17</f>
        <v>59450</v>
      </c>
      <c r="BK17" s="34">
        <v>0</v>
      </c>
      <c r="BL17" s="5">
        <f t="shared" si="2"/>
        <v>59450</v>
      </c>
      <c r="BM17" s="5">
        <v>5750</v>
      </c>
      <c r="BN17" s="5">
        <f t="shared" si="3"/>
        <v>65200</v>
      </c>
      <c r="BO17" s="5">
        <v>0</v>
      </c>
      <c r="BP17" s="5">
        <f t="shared" si="4"/>
        <v>65200</v>
      </c>
      <c r="BQ17" s="5">
        <v>2000</v>
      </c>
      <c r="BR17" s="5">
        <f t="shared" si="5"/>
        <v>67200</v>
      </c>
      <c r="BS17" s="5">
        <v>0</v>
      </c>
      <c r="BT17" s="5">
        <f t="shared" si="6"/>
        <v>67200</v>
      </c>
      <c r="BU17" s="5">
        <v>4750</v>
      </c>
      <c r="BV17" s="5">
        <f t="shared" si="7"/>
        <v>71950</v>
      </c>
      <c r="BW17" s="5">
        <v>0</v>
      </c>
      <c r="BX17" s="5">
        <f t="shared" si="37"/>
        <v>71950</v>
      </c>
      <c r="BY17" s="5">
        <v>2000</v>
      </c>
      <c r="BZ17" s="5">
        <f t="shared" si="38"/>
        <v>73950</v>
      </c>
      <c r="CA17" s="5">
        <v>3750</v>
      </c>
      <c r="CB17" s="5">
        <f t="shared" si="39"/>
        <v>77700</v>
      </c>
      <c r="CC17" s="5">
        <v>2500</v>
      </c>
      <c r="CD17" s="5">
        <f t="shared" si="40"/>
        <v>80200</v>
      </c>
      <c r="CE17" s="5">
        <v>2500</v>
      </c>
      <c r="CF17" s="5">
        <f t="shared" si="41"/>
        <v>82700</v>
      </c>
      <c r="CG17" s="5">
        <v>0</v>
      </c>
      <c r="CH17" s="5">
        <f t="shared" si="42"/>
        <v>82700</v>
      </c>
      <c r="CI17" s="5">
        <v>5750</v>
      </c>
      <c r="CJ17" s="5">
        <f t="shared" si="43"/>
        <v>88450</v>
      </c>
      <c r="CK17" s="5">
        <v>0</v>
      </c>
      <c r="CL17" s="5">
        <f t="shared" si="44"/>
        <v>88450</v>
      </c>
      <c r="CM17" s="5">
        <v>2000</v>
      </c>
      <c r="CN17" s="5">
        <f t="shared" si="45"/>
        <v>90450</v>
      </c>
      <c r="CO17" s="5">
        <v>0</v>
      </c>
      <c r="CP17" s="5">
        <f t="shared" si="46"/>
        <v>90450</v>
      </c>
      <c r="CQ17" s="5">
        <v>4750</v>
      </c>
      <c r="CR17" s="5">
        <f t="shared" si="47"/>
        <v>95200</v>
      </c>
      <c r="CS17" s="5">
        <v>0</v>
      </c>
      <c r="CT17" s="5">
        <f t="shared" si="48"/>
        <v>95200</v>
      </c>
      <c r="CU17" s="5"/>
      <c r="CV17" s="5"/>
      <c r="CW17" s="5"/>
      <c r="CX17" s="5"/>
      <c r="CY17" s="5"/>
      <c r="CZ17" s="5"/>
    </row>
    <row r="18" spans="1:104">
      <c r="A18" s="5" t="s">
        <v>123</v>
      </c>
      <c r="B18" s="5">
        <v>1300</v>
      </c>
      <c r="C18" s="33">
        <v>0</v>
      </c>
      <c r="D18" s="33">
        <f t="shared" si="8"/>
        <v>1300</v>
      </c>
      <c r="E18" s="33">
        <v>2000</v>
      </c>
      <c r="F18" s="33">
        <f t="shared" si="50"/>
        <v>3300</v>
      </c>
      <c r="G18" s="33">
        <v>0</v>
      </c>
      <c r="H18" s="33">
        <f t="shared" si="9"/>
        <v>3300</v>
      </c>
      <c r="I18" s="33">
        <v>3750</v>
      </c>
      <c r="J18" s="33">
        <f t="shared" si="10"/>
        <v>7050</v>
      </c>
      <c r="K18" s="22">
        <v>2500</v>
      </c>
      <c r="L18" s="22">
        <f t="shared" si="11"/>
        <v>9550</v>
      </c>
      <c r="M18" s="33">
        <v>2500</v>
      </c>
      <c r="N18" s="33">
        <f t="shared" si="12"/>
        <v>12050</v>
      </c>
      <c r="O18" s="22">
        <v>0</v>
      </c>
      <c r="P18" s="22">
        <f t="shared" si="13"/>
        <v>12050</v>
      </c>
      <c r="Q18" s="33">
        <v>5750</v>
      </c>
      <c r="R18" s="33">
        <f t="shared" si="14"/>
        <v>17800</v>
      </c>
      <c r="S18" s="22">
        <v>0</v>
      </c>
      <c r="T18" s="22">
        <f t="shared" si="15"/>
        <v>17800</v>
      </c>
      <c r="U18" s="33">
        <v>2000</v>
      </c>
      <c r="V18" s="33">
        <f t="shared" si="16"/>
        <v>19800</v>
      </c>
      <c r="W18" s="33">
        <v>0</v>
      </c>
      <c r="X18" s="22">
        <f t="shared" si="17"/>
        <v>19800</v>
      </c>
      <c r="Y18" s="33">
        <v>4750</v>
      </c>
      <c r="Z18" s="33">
        <f t="shared" si="18"/>
        <v>24550</v>
      </c>
      <c r="AA18" s="22">
        <v>0</v>
      </c>
      <c r="AB18" s="22">
        <f t="shared" si="19"/>
        <v>24550</v>
      </c>
      <c r="AC18" s="33">
        <v>2000</v>
      </c>
      <c r="AD18" s="33">
        <f t="shared" si="20"/>
        <v>26550</v>
      </c>
      <c r="AE18" s="22">
        <v>0</v>
      </c>
      <c r="AF18" s="22">
        <f t="shared" si="21"/>
        <v>26550</v>
      </c>
      <c r="AG18" s="33">
        <v>7250</v>
      </c>
      <c r="AH18" s="33">
        <f t="shared" si="22"/>
        <v>33800</v>
      </c>
      <c r="AI18" s="22">
        <v>0</v>
      </c>
      <c r="AJ18" s="22">
        <f t="shared" si="23"/>
        <v>33800</v>
      </c>
      <c r="AK18" s="22">
        <v>2000</v>
      </c>
      <c r="AL18" s="33">
        <f t="shared" si="24"/>
        <v>35800</v>
      </c>
      <c r="AM18" s="22">
        <v>0</v>
      </c>
      <c r="AN18" s="22">
        <f t="shared" si="25"/>
        <v>35800</v>
      </c>
      <c r="AO18" s="33">
        <v>6750</v>
      </c>
      <c r="AP18" s="33">
        <f t="shared" si="26"/>
        <v>42550</v>
      </c>
      <c r="AQ18" s="22">
        <v>0</v>
      </c>
      <c r="AR18" s="22">
        <f t="shared" si="27"/>
        <v>42550</v>
      </c>
      <c r="AS18" s="33">
        <v>2000</v>
      </c>
      <c r="AT18" s="33">
        <f t="shared" si="28"/>
        <v>44550</v>
      </c>
      <c r="AU18" s="22">
        <v>0</v>
      </c>
      <c r="AV18" s="22">
        <f t="shared" si="29"/>
        <v>44550</v>
      </c>
      <c r="AW18" s="33">
        <v>4150</v>
      </c>
      <c r="AX18" s="33">
        <f t="shared" si="30"/>
        <v>48700</v>
      </c>
      <c r="AY18" s="33">
        <v>0</v>
      </c>
      <c r="AZ18" s="33">
        <f t="shared" si="31"/>
        <v>48700</v>
      </c>
      <c r="BA18" s="33">
        <v>2000</v>
      </c>
      <c r="BB18" s="33">
        <f t="shared" si="32"/>
        <v>50700</v>
      </c>
      <c r="BC18" s="5">
        <v>0</v>
      </c>
      <c r="BD18" s="33">
        <f t="shared" si="33"/>
        <v>50700</v>
      </c>
      <c r="BE18" s="34">
        <v>3750</v>
      </c>
      <c r="BF18" s="33">
        <f t="shared" si="34"/>
        <v>54450</v>
      </c>
      <c r="BG18" s="33">
        <v>2500</v>
      </c>
      <c r="BH18" s="33">
        <f t="shared" si="35"/>
        <v>56950</v>
      </c>
      <c r="BI18" s="33">
        <v>2500</v>
      </c>
      <c r="BJ18" s="33">
        <f t="shared" si="36"/>
        <v>59450</v>
      </c>
      <c r="BK18" s="34">
        <v>0</v>
      </c>
      <c r="BL18" s="5">
        <f t="shared" si="2"/>
        <v>59450</v>
      </c>
      <c r="BM18" s="5">
        <v>5750</v>
      </c>
      <c r="BN18" s="5">
        <f t="shared" si="3"/>
        <v>65200</v>
      </c>
      <c r="BO18" s="5">
        <v>0</v>
      </c>
      <c r="BP18" s="5">
        <f t="shared" si="4"/>
        <v>65200</v>
      </c>
      <c r="BQ18" s="5">
        <v>2000</v>
      </c>
      <c r="BR18" s="5">
        <f t="shared" si="5"/>
        <v>67200</v>
      </c>
      <c r="BS18" s="5">
        <v>0</v>
      </c>
      <c r="BT18" s="5">
        <f t="shared" si="6"/>
        <v>67200</v>
      </c>
      <c r="BU18" s="5">
        <v>4750</v>
      </c>
      <c r="BV18" s="5">
        <f t="shared" si="7"/>
        <v>71950</v>
      </c>
      <c r="BW18" s="5">
        <v>0</v>
      </c>
      <c r="BX18" s="5">
        <f t="shared" si="37"/>
        <v>71950</v>
      </c>
      <c r="BY18" s="5">
        <v>2000</v>
      </c>
      <c r="BZ18" s="5">
        <f t="shared" si="38"/>
        <v>73950</v>
      </c>
      <c r="CA18" s="5">
        <v>3750</v>
      </c>
      <c r="CB18" s="5">
        <f>CA18+BZ18</f>
        <v>77700</v>
      </c>
      <c r="CC18" s="5">
        <v>2500</v>
      </c>
      <c r="CD18" s="5">
        <f t="shared" si="40"/>
        <v>80200</v>
      </c>
      <c r="CE18" s="5">
        <v>2500</v>
      </c>
      <c r="CF18" s="5">
        <f t="shared" si="41"/>
        <v>82700</v>
      </c>
      <c r="CG18" s="5">
        <v>0</v>
      </c>
      <c r="CH18" s="5">
        <f t="shared" si="42"/>
        <v>82700</v>
      </c>
      <c r="CI18" s="5">
        <v>5750</v>
      </c>
      <c r="CJ18" s="5">
        <f t="shared" si="43"/>
        <v>88450</v>
      </c>
      <c r="CK18" s="5">
        <v>0</v>
      </c>
      <c r="CL18" s="5">
        <f t="shared" si="44"/>
        <v>88450</v>
      </c>
      <c r="CM18" s="5">
        <v>2000</v>
      </c>
      <c r="CN18" s="5">
        <f t="shared" si="45"/>
        <v>90450</v>
      </c>
      <c r="CO18" s="5">
        <v>0</v>
      </c>
      <c r="CP18" s="5">
        <f t="shared" si="46"/>
        <v>90450</v>
      </c>
      <c r="CQ18" s="5">
        <v>4750</v>
      </c>
      <c r="CR18" s="5">
        <f t="shared" si="47"/>
        <v>95200</v>
      </c>
      <c r="CS18" s="5">
        <v>0</v>
      </c>
      <c r="CT18" s="5">
        <f t="shared" si="48"/>
        <v>95200</v>
      </c>
    </row>
    <row r="19" spans="1:104">
      <c r="A19" s="5"/>
      <c r="B19" s="5"/>
      <c r="C19" s="33"/>
      <c r="D19" s="33"/>
      <c r="E19" s="33"/>
      <c r="F19" s="33"/>
      <c r="G19" s="22"/>
      <c r="H19" s="22"/>
      <c r="I19" s="22"/>
      <c r="J19" s="22"/>
      <c r="K19" s="22"/>
      <c r="L19" s="22"/>
      <c r="M19" s="22"/>
      <c r="N19" s="22"/>
      <c r="O19" s="22"/>
      <c r="P19" s="22"/>
      <c r="Q19" s="22"/>
      <c r="R19" s="22"/>
      <c r="S19" s="22"/>
      <c r="T19" s="22"/>
      <c r="U19" s="22"/>
      <c r="V19" s="22"/>
      <c r="W19" s="22"/>
      <c r="X19" s="22"/>
      <c r="AA19" s="22"/>
      <c r="AB19" s="22"/>
      <c r="AC19" s="22"/>
      <c r="AD19" s="22"/>
      <c r="AE19" s="22"/>
      <c r="AF19" s="22"/>
      <c r="AG19" s="22"/>
      <c r="AH19" s="22"/>
      <c r="AI19" s="22"/>
      <c r="AJ19" s="22"/>
      <c r="AK19" s="22"/>
      <c r="AL19" s="22"/>
      <c r="AM19" s="22"/>
      <c r="AN19" s="22"/>
      <c r="AO19" s="22"/>
      <c r="AP19" s="22"/>
      <c r="AQ19" s="22"/>
      <c r="AR19" s="22"/>
      <c r="AS19" s="22"/>
      <c r="AT19" s="22"/>
      <c r="AU19" s="22"/>
      <c r="AV19" s="22"/>
      <c r="AW19" s="22"/>
      <c r="AX19" s="22"/>
      <c r="AY19" s="22"/>
      <c r="AZ19" s="22"/>
      <c r="BA19" s="22"/>
      <c r="BB19" s="22"/>
      <c r="BC19" s="5"/>
      <c r="BD19" s="5"/>
      <c r="BE19" s="5"/>
      <c r="BF19" s="5"/>
      <c r="BG19" s="5"/>
      <c r="BH19" s="5"/>
      <c r="BI19" s="5"/>
      <c r="BJ19" s="5"/>
      <c r="CA19" s="5"/>
      <c r="CB19" s="5"/>
      <c r="CC19" s="5"/>
      <c r="CD19" s="5"/>
      <c r="CE19" s="5"/>
      <c r="CF19" s="5"/>
      <c r="CG19" s="5"/>
      <c r="CH19" s="5"/>
      <c r="CI19" s="5"/>
      <c r="CJ19" s="5"/>
      <c r="CK19" s="5"/>
      <c r="CL19" s="5"/>
      <c r="CM19" s="5"/>
      <c r="CN19" s="5"/>
      <c r="CO19" s="5"/>
      <c r="CP19" s="5"/>
      <c r="CQ19" s="5"/>
      <c r="CR19" s="5"/>
      <c r="CS19" s="5"/>
      <c r="CT19" s="5"/>
    </row>
    <row r="20" spans="1:104">
      <c r="A20" s="5"/>
      <c r="B20" s="5"/>
      <c r="C20" s="22"/>
      <c r="D20" s="22"/>
      <c r="E20" s="22"/>
      <c r="F20" s="22"/>
      <c r="G20" s="22"/>
      <c r="H20" s="22"/>
      <c r="I20" s="22"/>
      <c r="J20" s="22"/>
      <c r="K20" s="22"/>
      <c r="L20" s="22"/>
      <c r="M20" s="22"/>
      <c r="N20" s="22"/>
      <c r="O20" s="22"/>
      <c r="P20" s="22"/>
      <c r="Q20" s="22"/>
      <c r="R20" s="22"/>
      <c r="S20" s="22"/>
      <c r="T20" s="22"/>
      <c r="U20" s="22"/>
      <c r="V20" s="22"/>
      <c r="W20" s="22"/>
      <c r="X20" s="22"/>
      <c r="AA20" s="22"/>
      <c r="AB20" s="22"/>
      <c r="AC20" s="22"/>
      <c r="AD20" s="22"/>
      <c r="AE20" s="22"/>
      <c r="AF20" s="22"/>
      <c r="AG20" s="22"/>
      <c r="AH20" s="22"/>
      <c r="AI20" s="22"/>
      <c r="AJ20" s="22"/>
      <c r="AK20" s="22"/>
      <c r="AL20" s="22"/>
      <c r="AM20" s="22"/>
      <c r="AN20" s="22"/>
      <c r="AO20" s="22"/>
      <c r="AP20" s="22"/>
      <c r="AQ20" s="22"/>
      <c r="AR20" s="22"/>
      <c r="AS20" s="22"/>
      <c r="AT20" s="22"/>
      <c r="AU20" s="22"/>
      <c r="AV20" s="22"/>
      <c r="AW20" s="22"/>
      <c r="AX20" s="22"/>
      <c r="AY20" s="22"/>
      <c r="AZ20" s="22"/>
      <c r="BA20" s="22"/>
      <c r="BB20" s="22"/>
      <c r="BC20" s="5"/>
      <c r="BD20" s="5"/>
      <c r="BE20" s="5"/>
      <c r="BF20" s="5"/>
      <c r="BG20" s="5"/>
      <c r="BH20" s="5"/>
      <c r="BI20" s="5"/>
      <c r="BJ20" s="5"/>
    </row>
    <row r="21" spans="1:104">
      <c r="A21" s="5"/>
      <c r="B21" s="5"/>
      <c r="C21" s="22"/>
      <c r="D21" s="22"/>
      <c r="E21" s="22"/>
      <c r="F21" s="22"/>
      <c r="G21" s="22"/>
      <c r="H21" s="22"/>
      <c r="I21" s="22"/>
      <c r="J21" s="22"/>
      <c r="K21" s="22"/>
      <c r="L21" s="22"/>
      <c r="M21" s="22"/>
      <c r="N21" s="22"/>
      <c r="O21" s="22"/>
      <c r="P21" s="22"/>
      <c r="Q21" s="22"/>
      <c r="R21" s="22"/>
      <c r="S21" s="22"/>
      <c r="T21" s="22"/>
      <c r="U21" s="22"/>
      <c r="V21" s="22"/>
      <c r="W21" s="22"/>
      <c r="X21" s="22"/>
      <c r="AA21" s="22"/>
      <c r="AB21" s="22"/>
      <c r="AC21" s="22"/>
      <c r="AD21" s="22"/>
      <c r="AE21" s="22"/>
      <c r="AF21" s="22"/>
      <c r="AG21" s="22"/>
      <c r="AH21" s="22"/>
      <c r="AI21" s="22"/>
      <c r="AJ21" s="22"/>
      <c r="AK21" s="22"/>
      <c r="AL21" s="22"/>
      <c r="AM21" s="22"/>
      <c r="AN21" s="22"/>
      <c r="AO21" s="22"/>
      <c r="AP21" s="22"/>
      <c r="AQ21" s="22"/>
      <c r="AR21" s="22"/>
      <c r="AS21" s="22"/>
      <c r="AT21" s="22"/>
      <c r="AU21" s="22"/>
      <c r="AV21" s="22"/>
      <c r="AW21" s="22"/>
      <c r="AX21" s="22"/>
      <c r="AY21" s="22"/>
      <c r="AZ21" s="22"/>
      <c r="BA21" s="22"/>
      <c r="BB21" s="22"/>
      <c r="BC21" s="5"/>
      <c r="BD21" s="5"/>
      <c r="BE21" s="5"/>
      <c r="BF21" s="5"/>
      <c r="BG21" s="5"/>
      <c r="BH21" s="5"/>
      <c r="BI21" s="5"/>
      <c r="BJ21" s="5"/>
    </row>
    <row r="22" spans="1:104">
      <c r="C22" s="22"/>
      <c r="D22" s="22"/>
      <c r="E22" s="22"/>
      <c r="F22" s="22"/>
      <c r="G22" s="22"/>
      <c r="H22" s="22"/>
      <c r="I22" s="22"/>
      <c r="J22" s="22"/>
      <c r="K22" s="22"/>
      <c r="L22" s="22"/>
      <c r="M22" s="22"/>
      <c r="N22" s="22"/>
      <c r="O22" s="22"/>
      <c r="P22" s="22"/>
      <c r="Q22" s="22"/>
      <c r="R22" s="22"/>
      <c r="S22" s="22"/>
      <c r="T22" s="22"/>
      <c r="U22" s="22"/>
      <c r="V22" s="22"/>
      <c r="W22" s="22"/>
      <c r="X22" s="22"/>
      <c r="AA22" s="22"/>
      <c r="AB22" s="22"/>
      <c r="AC22" s="22"/>
      <c r="AD22" s="22"/>
      <c r="AE22" s="22"/>
      <c r="AF22" s="22"/>
      <c r="AG22" s="22"/>
      <c r="AH22" s="22"/>
      <c r="AI22" s="22"/>
      <c r="AJ22" s="22"/>
      <c r="AK22" s="22"/>
      <c r="AL22" s="22"/>
      <c r="AM22" s="22"/>
      <c r="AN22" s="22"/>
      <c r="AO22" s="22"/>
      <c r="AP22" s="22"/>
      <c r="AQ22" s="22"/>
      <c r="AR22" s="22"/>
      <c r="AS22" s="22"/>
      <c r="AT22" s="22"/>
      <c r="AU22" s="22"/>
      <c r="AV22" s="22"/>
      <c r="AW22" s="22"/>
      <c r="AX22" s="22"/>
      <c r="AY22" s="22"/>
      <c r="AZ22" s="22"/>
      <c r="BA22" s="22"/>
      <c r="BB22" s="22"/>
      <c r="BC22" s="5"/>
      <c r="BD22" s="5"/>
      <c r="BE22" s="5"/>
      <c r="BF22" s="5"/>
      <c r="BG22" s="5"/>
      <c r="BH22" s="5"/>
      <c r="BI22" s="5"/>
      <c r="BJ22" s="5"/>
    </row>
    <row r="23" spans="1:104">
      <c r="C23" s="22"/>
      <c r="D23" s="22"/>
      <c r="E23" s="22"/>
      <c r="F23" s="22"/>
      <c r="G23" s="22"/>
      <c r="H23" s="22"/>
      <c r="I23" s="22"/>
      <c r="J23" s="22"/>
      <c r="K23" s="22"/>
      <c r="L23" s="22"/>
      <c r="M23" s="22"/>
      <c r="N23" s="22"/>
      <c r="O23" s="22"/>
      <c r="P23" s="22"/>
      <c r="Q23" s="22"/>
      <c r="R23" s="22"/>
      <c r="S23" s="22"/>
      <c r="T23" s="22"/>
      <c r="U23" s="22"/>
      <c r="V23" s="22"/>
      <c r="W23" s="22"/>
      <c r="X23" s="22"/>
      <c r="AA23" s="22"/>
      <c r="AB23" s="22"/>
      <c r="AC23" s="22"/>
      <c r="AD23" s="22"/>
      <c r="AE23" s="22"/>
      <c r="AF23" s="22"/>
      <c r="AG23" s="22"/>
      <c r="AH23" s="22"/>
      <c r="AI23" s="22"/>
      <c r="AJ23" s="22"/>
      <c r="AK23" s="22"/>
      <c r="AL23" s="22"/>
      <c r="AM23" s="22"/>
      <c r="AN23" s="22"/>
      <c r="AO23" s="22"/>
      <c r="AP23" s="22"/>
      <c r="AQ23" s="22"/>
      <c r="AR23" s="22"/>
      <c r="AS23" s="22"/>
      <c r="AT23" s="22"/>
      <c r="AU23" s="22"/>
      <c r="AV23" s="22"/>
      <c r="AW23" s="22"/>
      <c r="AX23" s="22"/>
      <c r="AY23" s="22"/>
      <c r="AZ23" s="22"/>
      <c r="BA23" s="22"/>
      <c r="BB23" s="22"/>
      <c r="BC23" s="5"/>
      <c r="BD23" s="5"/>
      <c r="BE23" s="5"/>
      <c r="BF23" s="5"/>
      <c r="BG23" s="5"/>
      <c r="BH23" s="5"/>
      <c r="BI23" s="5"/>
      <c r="BJ23" s="5"/>
    </row>
    <row r="24" spans="1:104">
      <c r="C24" s="22"/>
      <c r="D24" s="22"/>
      <c r="E24" s="22"/>
      <c r="F24" s="22"/>
      <c r="G24" s="22"/>
      <c r="H24" s="22"/>
      <c r="I24" s="22"/>
      <c r="J24" s="22"/>
      <c r="K24" s="22"/>
      <c r="L24" s="22"/>
      <c r="M24" s="22"/>
      <c r="N24" s="22"/>
      <c r="O24" s="22"/>
      <c r="P24" s="22"/>
      <c r="Q24" s="22"/>
      <c r="R24" s="22"/>
      <c r="S24" s="22"/>
      <c r="T24" s="22"/>
      <c r="U24" s="22"/>
      <c r="V24" s="22"/>
      <c r="W24" s="22"/>
      <c r="X24" s="22"/>
      <c r="AA24" s="22"/>
      <c r="AB24" s="22"/>
      <c r="AC24" s="22"/>
      <c r="AD24" s="22"/>
      <c r="AE24" s="22"/>
      <c r="AF24" s="22"/>
      <c r="AG24" s="22"/>
      <c r="AH24" s="22"/>
      <c r="AI24" s="22"/>
      <c r="AJ24" s="22"/>
      <c r="AK24" s="22"/>
      <c r="AL24" s="22"/>
      <c r="AM24" s="22"/>
      <c r="AN24" s="22"/>
      <c r="AO24" s="22"/>
      <c r="AP24" s="22"/>
      <c r="AQ24" s="22"/>
      <c r="AR24" s="22"/>
      <c r="AS24" s="22"/>
      <c r="AT24" s="22"/>
      <c r="AU24" s="22"/>
      <c r="AV24" s="22"/>
      <c r="AW24" s="22"/>
      <c r="AX24" s="22"/>
      <c r="AY24" s="22"/>
      <c r="AZ24" s="22"/>
      <c r="BA24" s="22"/>
      <c r="BB24" s="22"/>
      <c r="BC24" s="5"/>
      <c r="BD24" s="5"/>
      <c r="BE24" s="5"/>
      <c r="BF24" s="5"/>
      <c r="BG24" s="5"/>
      <c r="BH24" s="5"/>
      <c r="BI24" s="5"/>
      <c r="BJ24" s="5"/>
    </row>
  </sheetData>
  <mergeCells count="1">
    <mergeCell ref="C2:X2"/>
  </mergeCells>
  <phoneticPr fontId="3" type="noConversion"/>
  <pageMargins left="0.7" right="0.7" top="0.75" bottom="0.75" header="0.3" footer="0.3"/>
  <pageSetup paperSize="9" orientation="portrait" r:id="rId1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B579D2-E05B-4470-8F2B-82E2B8AFE803}">
  <dimension ref="A2:DL18"/>
  <sheetViews>
    <sheetView topLeftCell="BW1" zoomScale="84" zoomScaleNormal="55" workbookViewId="0">
      <selection activeCell="DS13" sqref="DS13"/>
    </sheetView>
  </sheetViews>
  <sheetFormatPr defaultColWidth="13.6640625" defaultRowHeight="24.6"/>
  <cols>
    <col min="1" max="1" width="37.109375" style="5" customWidth="1"/>
    <col min="2" max="4" width="11.88671875" style="5" customWidth="1"/>
    <col min="5" max="6" width="9.109375" style="22" customWidth="1"/>
    <col min="7" max="8" width="9.109375" style="33" customWidth="1"/>
    <col min="9" max="103" width="9.109375" style="22" customWidth="1"/>
    <col min="104" max="16384" width="13.6640625" style="5"/>
  </cols>
  <sheetData>
    <row r="2" spans="1:104">
      <c r="E2" s="67" t="s">
        <v>25</v>
      </c>
      <c r="F2" s="67"/>
      <c r="G2" s="67"/>
      <c r="H2" s="67"/>
      <c r="I2" s="67"/>
      <c r="J2" s="67"/>
      <c r="K2" s="67"/>
      <c r="L2" s="67"/>
      <c r="M2" s="67"/>
      <c r="N2" s="67"/>
      <c r="O2" s="67"/>
      <c r="P2" s="67"/>
      <c r="Q2" s="67"/>
      <c r="R2" s="67"/>
      <c r="S2" s="67"/>
      <c r="T2" s="67"/>
      <c r="U2" s="67"/>
      <c r="V2" s="67"/>
      <c r="W2" s="67"/>
      <c r="X2" s="67"/>
      <c r="Y2" s="67"/>
      <c r="Z2" s="67"/>
      <c r="AA2" s="67"/>
      <c r="AB2" s="67"/>
      <c r="AC2" s="67"/>
      <c r="AD2" s="67"/>
      <c r="AE2" s="67"/>
      <c r="AF2" s="67"/>
      <c r="AG2" s="67"/>
      <c r="AH2" s="67"/>
      <c r="AI2" s="67"/>
      <c r="AJ2" s="67"/>
      <c r="AK2" s="67"/>
      <c r="AL2" s="67"/>
      <c r="AM2" s="67"/>
      <c r="AN2" s="67"/>
      <c r="AO2" s="67"/>
      <c r="AP2" s="67"/>
      <c r="AQ2" s="67"/>
    </row>
    <row r="3" spans="1:104">
      <c r="B3" s="31">
        <v>5000</v>
      </c>
      <c r="C3" s="31" t="s">
        <v>34</v>
      </c>
      <c r="D3" s="24">
        <v>10000</v>
      </c>
      <c r="E3" s="22" t="s">
        <v>34</v>
      </c>
      <c r="F3" s="32">
        <v>20000</v>
      </c>
      <c r="G3" s="22" t="s">
        <v>34</v>
      </c>
      <c r="H3" s="24">
        <v>30000</v>
      </c>
      <c r="I3" s="22" t="s">
        <v>34</v>
      </c>
      <c r="J3" s="24">
        <v>40000</v>
      </c>
      <c r="K3" s="22" t="s">
        <v>34</v>
      </c>
      <c r="L3" s="24">
        <v>50000</v>
      </c>
      <c r="M3" s="22" t="s">
        <v>34</v>
      </c>
      <c r="N3" s="24">
        <v>60000</v>
      </c>
      <c r="O3" s="22" t="s">
        <v>34</v>
      </c>
      <c r="P3" s="24">
        <v>70000</v>
      </c>
      <c r="Q3" s="22" t="s">
        <v>34</v>
      </c>
      <c r="R3" s="24">
        <v>80000</v>
      </c>
      <c r="S3" s="22" t="s">
        <v>34</v>
      </c>
      <c r="T3" s="24">
        <v>90000</v>
      </c>
      <c r="U3" s="22" t="s">
        <v>34</v>
      </c>
      <c r="V3" s="24">
        <v>100000</v>
      </c>
      <c r="W3" s="22" t="s">
        <v>34</v>
      </c>
      <c r="X3" s="24">
        <v>110000</v>
      </c>
      <c r="Y3" s="22" t="s">
        <v>34</v>
      </c>
      <c r="Z3" s="24">
        <v>120000</v>
      </c>
      <c r="AA3" s="22" t="s">
        <v>34</v>
      </c>
      <c r="AB3" s="24">
        <v>130000</v>
      </c>
      <c r="AC3" s="22" t="s">
        <v>34</v>
      </c>
      <c r="AD3" s="24">
        <v>140000</v>
      </c>
      <c r="AE3" s="22" t="s">
        <v>34</v>
      </c>
      <c r="AF3" s="24">
        <v>150000</v>
      </c>
      <c r="AG3" s="22" t="s">
        <v>34</v>
      </c>
      <c r="AH3" s="24">
        <v>160000</v>
      </c>
      <c r="AI3" s="22" t="s">
        <v>34</v>
      </c>
      <c r="AJ3" s="24">
        <v>170000</v>
      </c>
      <c r="AK3" s="22" t="s">
        <v>34</v>
      </c>
      <c r="AL3" s="24">
        <v>180000</v>
      </c>
      <c r="AM3" s="22" t="s">
        <v>34</v>
      </c>
      <c r="AN3" s="24">
        <v>190000</v>
      </c>
      <c r="AO3" s="22" t="s">
        <v>34</v>
      </c>
      <c r="AP3" s="24">
        <v>200000</v>
      </c>
      <c r="AQ3" s="22" t="s">
        <v>34</v>
      </c>
      <c r="AR3" s="24">
        <v>210000</v>
      </c>
      <c r="AS3" s="22" t="s">
        <v>34</v>
      </c>
      <c r="AT3" s="24">
        <v>220000</v>
      </c>
      <c r="AU3" s="22" t="s">
        <v>34</v>
      </c>
      <c r="AV3" s="24">
        <v>230000</v>
      </c>
      <c r="AW3" s="22" t="s">
        <v>34</v>
      </c>
      <c r="AX3" s="24">
        <v>240000</v>
      </c>
      <c r="AY3" s="22" t="s">
        <v>34</v>
      </c>
      <c r="AZ3" s="24">
        <v>250000</v>
      </c>
      <c r="BA3" s="22" t="s">
        <v>34</v>
      </c>
      <c r="BB3" s="24">
        <v>260000</v>
      </c>
      <c r="BC3" s="22" t="s">
        <v>34</v>
      </c>
      <c r="BD3" s="24">
        <v>270000</v>
      </c>
      <c r="BE3" s="22" t="s">
        <v>34</v>
      </c>
      <c r="BF3" s="24">
        <v>280000</v>
      </c>
      <c r="BG3" s="22" t="s">
        <v>34</v>
      </c>
      <c r="BH3" s="24">
        <v>290000</v>
      </c>
      <c r="BI3" s="22" t="s">
        <v>34</v>
      </c>
      <c r="BJ3" s="24">
        <v>300000</v>
      </c>
      <c r="BK3" s="22" t="s">
        <v>34</v>
      </c>
      <c r="BL3" s="24">
        <v>310000</v>
      </c>
      <c r="BM3" s="22" t="s">
        <v>34</v>
      </c>
      <c r="BN3" s="24">
        <v>320000</v>
      </c>
      <c r="BO3" s="22" t="s">
        <v>34</v>
      </c>
      <c r="BP3" s="24">
        <v>330000</v>
      </c>
      <c r="BQ3" s="22" t="s">
        <v>34</v>
      </c>
      <c r="BR3" s="24">
        <v>340000</v>
      </c>
      <c r="BS3" s="22" t="s">
        <v>34</v>
      </c>
      <c r="BT3" s="24">
        <v>350000</v>
      </c>
      <c r="BU3" s="22" t="s">
        <v>34</v>
      </c>
      <c r="BV3" s="24">
        <v>360000</v>
      </c>
      <c r="BW3" s="22" t="s">
        <v>34</v>
      </c>
      <c r="BX3" s="24">
        <v>370000</v>
      </c>
      <c r="BY3" s="22" t="s">
        <v>34</v>
      </c>
      <c r="BZ3" s="24">
        <v>380000</v>
      </c>
      <c r="CA3" s="22" t="s">
        <v>34</v>
      </c>
      <c r="CB3" s="24">
        <v>390000</v>
      </c>
      <c r="CC3" s="22" t="s">
        <v>34</v>
      </c>
      <c r="CD3" s="24">
        <v>400000</v>
      </c>
      <c r="CE3" s="22" t="s">
        <v>34</v>
      </c>
      <c r="CF3" s="24">
        <v>410000</v>
      </c>
      <c r="CG3" s="22" t="s">
        <v>34</v>
      </c>
      <c r="CH3" s="24">
        <v>420000</v>
      </c>
      <c r="CI3" s="22" t="s">
        <v>34</v>
      </c>
      <c r="CJ3" s="24">
        <v>430000</v>
      </c>
      <c r="CK3" s="22" t="s">
        <v>34</v>
      </c>
      <c r="CL3" s="24">
        <v>440000</v>
      </c>
      <c r="CM3" s="22" t="s">
        <v>34</v>
      </c>
      <c r="CN3" s="24">
        <v>450000</v>
      </c>
      <c r="CO3" s="22" t="s">
        <v>34</v>
      </c>
      <c r="CP3" s="24">
        <v>460000</v>
      </c>
      <c r="CQ3" s="22" t="s">
        <v>34</v>
      </c>
      <c r="CR3" s="24">
        <v>470000</v>
      </c>
      <c r="CS3" s="22" t="s">
        <v>34</v>
      </c>
      <c r="CT3" s="24">
        <v>480000</v>
      </c>
      <c r="CU3" s="22" t="s">
        <v>34</v>
      </c>
      <c r="CV3" s="24">
        <v>490000</v>
      </c>
      <c r="CW3" s="22" t="s">
        <v>34</v>
      </c>
      <c r="CX3" s="24">
        <v>500000</v>
      </c>
      <c r="CY3" s="22" t="s">
        <v>34</v>
      </c>
    </row>
    <row r="4" spans="1:104">
      <c r="A4" s="5" t="s">
        <v>0</v>
      </c>
    </row>
    <row r="5" spans="1:104">
      <c r="A5" s="34" t="s">
        <v>127</v>
      </c>
      <c r="B5" s="34">
        <v>0</v>
      </c>
      <c r="C5" s="34">
        <f>B5</f>
        <v>0</v>
      </c>
      <c r="D5" s="34">
        <v>3000</v>
      </c>
      <c r="E5" s="22">
        <f>B5+D5</f>
        <v>3000</v>
      </c>
      <c r="F5" s="22">
        <v>3000</v>
      </c>
      <c r="G5" s="32">
        <f>E5+F5</f>
        <v>6000</v>
      </c>
      <c r="H5" s="22">
        <v>3000</v>
      </c>
      <c r="I5" s="32">
        <f>G5+H5</f>
        <v>9000</v>
      </c>
      <c r="J5" s="22">
        <v>300</v>
      </c>
      <c r="K5" s="32">
        <f>I5+J5</f>
        <v>9300</v>
      </c>
      <c r="L5" s="22">
        <v>3000</v>
      </c>
      <c r="M5" s="32">
        <f>K5+L5</f>
        <v>12300</v>
      </c>
      <c r="N5" s="22">
        <v>5000</v>
      </c>
      <c r="O5" s="32">
        <f>M5+N5</f>
        <v>17300</v>
      </c>
      <c r="P5" s="22">
        <v>6750</v>
      </c>
      <c r="Q5" s="32">
        <f>O5+P5</f>
        <v>24050</v>
      </c>
      <c r="R5" s="22">
        <v>5000</v>
      </c>
      <c r="S5" s="32">
        <f>Q5+R5</f>
        <v>29050</v>
      </c>
      <c r="T5" s="22">
        <v>6750</v>
      </c>
      <c r="U5" s="32">
        <f>S5+T5</f>
        <v>35800</v>
      </c>
      <c r="V5" s="22">
        <v>6000</v>
      </c>
      <c r="W5" s="32">
        <f>U5+V5</f>
        <v>41800</v>
      </c>
      <c r="X5" s="22">
        <v>4000</v>
      </c>
      <c r="Y5" s="32">
        <f>W5+X5</f>
        <v>45800</v>
      </c>
      <c r="Z5" s="22">
        <v>9000</v>
      </c>
      <c r="AA5" s="32">
        <f>Y5+Z5</f>
        <v>54800</v>
      </c>
      <c r="AB5" s="22">
        <v>3000</v>
      </c>
      <c r="AC5" s="32">
        <f>AA5+AB5</f>
        <v>57800</v>
      </c>
      <c r="AD5" s="22">
        <v>3000</v>
      </c>
      <c r="AE5" s="32">
        <f>AC5+AD5</f>
        <v>60800</v>
      </c>
      <c r="AF5" s="22">
        <v>3000</v>
      </c>
      <c r="AG5" s="32">
        <f>AE5+AF5</f>
        <v>63800</v>
      </c>
      <c r="AH5" s="22">
        <v>3000</v>
      </c>
      <c r="AI5" s="32">
        <f>AG5+AH5</f>
        <v>66800</v>
      </c>
      <c r="AJ5" s="22">
        <v>3000</v>
      </c>
      <c r="AK5" s="32">
        <f>AI5+AJ5</f>
        <v>69800</v>
      </c>
      <c r="AL5" s="22">
        <v>5000</v>
      </c>
      <c r="AM5" s="32">
        <f>AK5+AL5</f>
        <v>74800</v>
      </c>
      <c r="AN5" s="22">
        <v>6750</v>
      </c>
      <c r="AO5" s="32">
        <f>AM5+AN5</f>
        <v>81550</v>
      </c>
      <c r="AP5" s="22">
        <v>5000</v>
      </c>
      <c r="AQ5" s="32">
        <f>AO5+AP5</f>
        <v>86550</v>
      </c>
      <c r="AR5" s="22">
        <v>6750</v>
      </c>
      <c r="AS5" s="32">
        <f>AQ5+AR5</f>
        <v>93300</v>
      </c>
      <c r="AT5" s="22">
        <v>6000</v>
      </c>
      <c r="AU5" s="32">
        <f>AS5+AT5</f>
        <v>99300</v>
      </c>
      <c r="AV5" s="22">
        <v>4000</v>
      </c>
      <c r="AW5" s="32">
        <f>AU5+AV5</f>
        <v>103300</v>
      </c>
      <c r="AX5" s="22">
        <v>9000</v>
      </c>
      <c r="AY5" s="32">
        <f>AW5+AX5</f>
        <v>112300</v>
      </c>
      <c r="AZ5" s="22">
        <v>3000</v>
      </c>
      <c r="BA5" s="32">
        <f>AY5+AZ5</f>
        <v>115300</v>
      </c>
      <c r="BB5" s="22">
        <v>3000</v>
      </c>
      <c r="BC5" s="32">
        <f>BA5+BB5</f>
        <v>118300</v>
      </c>
      <c r="BD5" s="22">
        <v>3000</v>
      </c>
      <c r="BE5" s="32">
        <f>BC5+BD5</f>
        <v>121300</v>
      </c>
      <c r="BF5" s="22">
        <v>3000</v>
      </c>
      <c r="BG5" s="32">
        <f>BE5+BF5</f>
        <v>124300</v>
      </c>
      <c r="BH5" s="22">
        <v>3000</v>
      </c>
      <c r="BI5" s="32">
        <f>BG5+BH5</f>
        <v>127300</v>
      </c>
      <c r="BJ5" s="22">
        <v>5000</v>
      </c>
      <c r="BK5" s="32">
        <f>BI5+BJ5</f>
        <v>132300</v>
      </c>
      <c r="BL5" s="22">
        <v>6750</v>
      </c>
      <c r="BM5" s="32">
        <f>BK5+BL5</f>
        <v>139050</v>
      </c>
      <c r="BN5" s="22">
        <v>5000</v>
      </c>
      <c r="BO5" s="32">
        <f>BM5+BN5</f>
        <v>144050</v>
      </c>
      <c r="BP5" s="22">
        <v>6750</v>
      </c>
      <c r="BQ5" s="32">
        <f>BO5+BP5</f>
        <v>150800</v>
      </c>
      <c r="BR5" s="22">
        <v>6000</v>
      </c>
      <c r="BS5" s="32">
        <f>BQ5+BR5</f>
        <v>156800</v>
      </c>
      <c r="BT5" s="22">
        <v>4000</v>
      </c>
      <c r="BU5" s="32">
        <f>BS5+BT5</f>
        <v>160800</v>
      </c>
      <c r="BV5" s="22">
        <v>9000</v>
      </c>
      <c r="BW5" s="32">
        <f>BU5+BV5</f>
        <v>169800</v>
      </c>
      <c r="BX5" s="22">
        <v>3000</v>
      </c>
      <c r="BY5" s="32">
        <f>BW5+BX5</f>
        <v>172800</v>
      </c>
      <c r="BZ5" s="22">
        <v>3000</v>
      </c>
      <c r="CA5" s="32">
        <f>BY5+BZ5</f>
        <v>175800</v>
      </c>
      <c r="CB5" s="22">
        <v>3000</v>
      </c>
      <c r="CC5" s="32">
        <f>CA5+CB5</f>
        <v>178800</v>
      </c>
      <c r="CD5" s="22">
        <v>3000</v>
      </c>
      <c r="CE5" s="32">
        <f>CC5+CD5</f>
        <v>181800</v>
      </c>
      <c r="CF5" s="22">
        <v>3000</v>
      </c>
      <c r="CG5" s="32">
        <f>CE5+CF5</f>
        <v>184800</v>
      </c>
      <c r="CH5" s="22">
        <v>5000</v>
      </c>
      <c r="CI5" s="32">
        <f>CG5+CH5</f>
        <v>189800</v>
      </c>
      <c r="CJ5" s="22">
        <v>6750</v>
      </c>
      <c r="CK5" s="32">
        <f>CI5+CJ5</f>
        <v>196550</v>
      </c>
      <c r="CL5" s="22">
        <v>5000</v>
      </c>
      <c r="CM5" s="32">
        <f>CK5+CL5</f>
        <v>201550</v>
      </c>
      <c r="CN5" s="22">
        <v>6750</v>
      </c>
      <c r="CO5" s="32">
        <f>CM5+CN5</f>
        <v>208300</v>
      </c>
      <c r="CP5" s="22">
        <v>6750</v>
      </c>
      <c r="CQ5" s="32">
        <f>CO5+CP5</f>
        <v>215050</v>
      </c>
      <c r="CR5" s="22">
        <v>6000</v>
      </c>
      <c r="CS5" s="32">
        <f>CQ5+CR5</f>
        <v>221050</v>
      </c>
      <c r="CT5" s="22">
        <v>4000</v>
      </c>
      <c r="CU5" s="32">
        <f>CS5+CT5</f>
        <v>225050</v>
      </c>
      <c r="CV5" s="22">
        <v>9000</v>
      </c>
      <c r="CW5" s="32">
        <f>CU5+CV5</f>
        <v>234050</v>
      </c>
      <c r="CX5" s="22">
        <v>3000</v>
      </c>
      <c r="CY5" s="32">
        <f>CW5+CX5</f>
        <v>237050</v>
      </c>
    </row>
    <row r="6" spans="1:104" s="26" customFormat="1">
      <c r="A6" s="34" t="s">
        <v>28</v>
      </c>
      <c r="B6" s="34">
        <v>0</v>
      </c>
      <c r="C6" s="34">
        <f t="shared" ref="C6:C18" si="0">B6</f>
        <v>0</v>
      </c>
      <c r="D6" s="34">
        <v>2500</v>
      </c>
      <c r="E6" s="22">
        <f t="shared" ref="E6:E16" si="1">B6+D6</f>
        <v>2500</v>
      </c>
      <c r="F6" s="22">
        <v>2500</v>
      </c>
      <c r="G6" s="32">
        <f t="shared" ref="G6:G12" si="2">E6+F6</f>
        <v>5000</v>
      </c>
      <c r="H6" s="22">
        <v>2500</v>
      </c>
      <c r="I6" s="32">
        <f t="shared" ref="I6:I12" si="3">G6+H6</f>
        <v>7500</v>
      </c>
      <c r="J6" s="22">
        <v>2500</v>
      </c>
      <c r="K6" s="32">
        <f t="shared" ref="K6:K12" si="4">I6+J6</f>
        <v>10000</v>
      </c>
      <c r="L6" s="22">
        <v>2500</v>
      </c>
      <c r="M6" s="32">
        <f t="shared" ref="M6:M12" si="5">K6+L6</f>
        <v>12500</v>
      </c>
      <c r="N6" s="22">
        <v>4500</v>
      </c>
      <c r="O6" s="32">
        <f t="shared" ref="O6:O12" si="6">M6+N6</f>
        <v>17000</v>
      </c>
      <c r="P6" s="22">
        <v>3500</v>
      </c>
      <c r="Q6" s="32">
        <f t="shared" ref="Q6:Q12" si="7">O6+P6</f>
        <v>20500</v>
      </c>
      <c r="R6" s="22">
        <v>4500</v>
      </c>
      <c r="S6" s="32">
        <f t="shared" ref="S6:S12" si="8">Q6+R6</f>
        <v>25000</v>
      </c>
      <c r="T6" s="22">
        <v>3500</v>
      </c>
      <c r="U6" s="32">
        <f t="shared" ref="U6:U12" si="9">S6+T6</f>
        <v>28500</v>
      </c>
      <c r="V6" s="22">
        <v>6500</v>
      </c>
      <c r="W6" s="32">
        <f t="shared" ref="W6:W12" si="10">U6+V6</f>
        <v>35000</v>
      </c>
      <c r="X6" s="22">
        <v>3500</v>
      </c>
      <c r="Y6" s="32">
        <f t="shared" ref="Y6:Y12" si="11">W6+X6</f>
        <v>38500</v>
      </c>
      <c r="Z6" s="22">
        <v>8000</v>
      </c>
      <c r="AA6" s="32">
        <f t="shared" ref="AA6:AA12" si="12">Y6+Z6</f>
        <v>46500</v>
      </c>
      <c r="AB6" s="22">
        <v>2500</v>
      </c>
      <c r="AC6" s="32">
        <f t="shared" ref="AC6:AC12" si="13">AA6+AB6</f>
        <v>49000</v>
      </c>
      <c r="AD6" s="22">
        <v>2500</v>
      </c>
      <c r="AE6" s="32">
        <f t="shared" ref="AE6:AE12" si="14">AC6+AD6</f>
        <v>51500</v>
      </c>
      <c r="AF6" s="22">
        <v>2500</v>
      </c>
      <c r="AG6" s="32">
        <f t="shared" ref="AG6:AG12" si="15">AE6+AF6</f>
        <v>54000</v>
      </c>
      <c r="AH6" s="22">
        <v>2500</v>
      </c>
      <c r="AI6" s="32">
        <f t="shared" ref="AI6:AI12" si="16">AG6+AH6</f>
        <v>56500</v>
      </c>
      <c r="AJ6" s="22">
        <v>2500</v>
      </c>
      <c r="AK6" s="32">
        <f t="shared" ref="AK6:AK12" si="17">AI6+AJ6</f>
        <v>59000</v>
      </c>
      <c r="AL6" s="22">
        <v>4500</v>
      </c>
      <c r="AM6" s="32">
        <f t="shared" ref="AM6:AM12" si="18">AK6+AL6</f>
        <v>63500</v>
      </c>
      <c r="AN6" s="22">
        <v>3500</v>
      </c>
      <c r="AO6" s="32">
        <f t="shared" ref="AO6:AO12" si="19">AM6+AN6</f>
        <v>67000</v>
      </c>
      <c r="AP6" s="22">
        <v>4500</v>
      </c>
      <c r="AQ6" s="32">
        <f t="shared" ref="AQ6:AQ12" si="20">AO6+AP6</f>
        <v>71500</v>
      </c>
      <c r="AR6" s="22">
        <v>3500</v>
      </c>
      <c r="AS6" s="32">
        <f t="shared" ref="AS6:AS12" si="21">AQ6+AR6</f>
        <v>75000</v>
      </c>
      <c r="AT6" s="22">
        <v>6500</v>
      </c>
      <c r="AU6" s="32">
        <f t="shared" ref="AU6:AU12" si="22">AS6+AT6</f>
        <v>81500</v>
      </c>
      <c r="AV6" s="22">
        <v>3500</v>
      </c>
      <c r="AW6" s="32">
        <f t="shared" ref="AW6:AW12" si="23">AU6+AV6</f>
        <v>85000</v>
      </c>
      <c r="AX6" s="22">
        <v>8000</v>
      </c>
      <c r="AY6" s="32">
        <f t="shared" ref="AY6:AY12" si="24">AW6+AX6</f>
        <v>93000</v>
      </c>
      <c r="AZ6" s="22">
        <v>2500</v>
      </c>
      <c r="BA6" s="32">
        <f t="shared" ref="BA6:BA12" si="25">AY6+AZ6</f>
        <v>95500</v>
      </c>
      <c r="BB6" s="22">
        <v>2500</v>
      </c>
      <c r="BC6" s="32">
        <f t="shared" ref="BC6:BC12" si="26">BA6+BB6</f>
        <v>98000</v>
      </c>
      <c r="BD6" s="22">
        <v>2500</v>
      </c>
      <c r="BE6" s="32">
        <f t="shared" ref="BE6:BE12" si="27">BC6+BD6</f>
        <v>100500</v>
      </c>
      <c r="BF6" s="22">
        <v>2500</v>
      </c>
      <c r="BG6" s="32">
        <f t="shared" ref="BG6:BG12" si="28">BE6+BF6</f>
        <v>103000</v>
      </c>
      <c r="BH6" s="22">
        <v>2500</v>
      </c>
      <c r="BI6" s="32">
        <f t="shared" ref="BI6:BI12" si="29">BG6+BH6</f>
        <v>105500</v>
      </c>
      <c r="BJ6" s="22">
        <v>4500</v>
      </c>
      <c r="BK6" s="32">
        <f t="shared" ref="BK6:BK12" si="30">BI6+BJ6</f>
        <v>110000</v>
      </c>
      <c r="BL6" s="22">
        <v>3500</v>
      </c>
      <c r="BM6" s="32">
        <f t="shared" ref="BM6:BM12" si="31">BK6+BL6</f>
        <v>113500</v>
      </c>
      <c r="BN6" s="22">
        <v>4500</v>
      </c>
      <c r="BO6" s="32">
        <f t="shared" ref="BO6:BO12" si="32">BM6+BN6</f>
        <v>118000</v>
      </c>
      <c r="BP6" s="22">
        <v>3500</v>
      </c>
      <c r="BQ6" s="32">
        <f t="shared" ref="BQ6:BQ12" si="33">BO6+BP6</f>
        <v>121500</v>
      </c>
      <c r="BR6" s="22">
        <v>6500</v>
      </c>
      <c r="BS6" s="32">
        <f t="shared" ref="BS6:BS12" si="34">BQ6+BR6</f>
        <v>128000</v>
      </c>
      <c r="BT6" s="22">
        <v>3500</v>
      </c>
      <c r="BU6" s="32">
        <f t="shared" ref="BU6:BU12" si="35">BS6+BT6</f>
        <v>131500</v>
      </c>
      <c r="BV6" s="22">
        <v>8000</v>
      </c>
      <c r="BW6" s="32">
        <f t="shared" ref="BW6:BW12" si="36">BU6+BV6</f>
        <v>139500</v>
      </c>
      <c r="BX6" s="22">
        <v>2500</v>
      </c>
      <c r="BY6" s="32">
        <f t="shared" ref="BY6:BY12" si="37">BW6+BX6</f>
        <v>142000</v>
      </c>
      <c r="BZ6" s="22">
        <v>2500</v>
      </c>
      <c r="CA6" s="32">
        <f t="shared" ref="CA6:CA12" si="38">BY6+BZ6</f>
        <v>144500</v>
      </c>
      <c r="CB6" s="22">
        <v>2500</v>
      </c>
      <c r="CC6" s="32">
        <f t="shared" ref="CC6:CC12" si="39">CA6+CB6</f>
        <v>147000</v>
      </c>
      <c r="CD6" s="22">
        <v>2500</v>
      </c>
      <c r="CE6" s="32">
        <f t="shared" ref="CE6:CE12" si="40">CC6+CD6</f>
        <v>149500</v>
      </c>
      <c r="CF6" s="22">
        <v>2500</v>
      </c>
      <c r="CG6" s="32">
        <f t="shared" ref="CG6:CG12" si="41">CE6+CF6</f>
        <v>152000</v>
      </c>
      <c r="CH6" s="22">
        <v>4500</v>
      </c>
      <c r="CI6" s="32">
        <f t="shared" ref="CI6:CI12" si="42">CG6+CH6</f>
        <v>156500</v>
      </c>
      <c r="CJ6" s="22">
        <v>3500</v>
      </c>
      <c r="CK6" s="32">
        <f t="shared" ref="CK6:CK12" si="43">CI6+CJ6</f>
        <v>160000</v>
      </c>
      <c r="CL6" s="22">
        <v>4500</v>
      </c>
      <c r="CM6" s="32">
        <f t="shared" ref="CM6:CM12" si="44">CK6+CL6</f>
        <v>164500</v>
      </c>
      <c r="CN6" s="22">
        <v>3500</v>
      </c>
      <c r="CO6" s="32">
        <f t="shared" ref="CO6:CO12" si="45">CM6+CN6</f>
        <v>168000</v>
      </c>
      <c r="CP6" s="22">
        <v>3500</v>
      </c>
      <c r="CQ6" s="32">
        <f t="shared" ref="CQ6:CQ12" si="46">CO6+CP6</f>
        <v>171500</v>
      </c>
      <c r="CR6" s="22">
        <v>6500</v>
      </c>
      <c r="CS6" s="32">
        <f t="shared" ref="CS6:CS12" si="47">CQ6+CR6</f>
        <v>178000</v>
      </c>
      <c r="CT6" s="22">
        <v>3500</v>
      </c>
      <c r="CU6" s="32">
        <f t="shared" ref="CU6:CU12" si="48">CS6+CT6</f>
        <v>181500</v>
      </c>
      <c r="CV6" s="22">
        <v>8000</v>
      </c>
      <c r="CW6" s="32">
        <f t="shared" ref="CW6:CW12" si="49">CU6+CV6</f>
        <v>189500</v>
      </c>
      <c r="CX6" s="22">
        <v>2500</v>
      </c>
      <c r="CY6" s="32">
        <f t="shared" ref="CY6:CY12" si="50">CW6+CX6</f>
        <v>192000</v>
      </c>
      <c r="CZ6" s="25"/>
    </row>
    <row r="7" spans="1:104">
      <c r="A7" s="34" t="s">
        <v>124</v>
      </c>
      <c r="B7" s="34">
        <v>0</v>
      </c>
      <c r="C7" s="34">
        <f t="shared" si="0"/>
        <v>0</v>
      </c>
      <c r="D7" s="34">
        <v>2750</v>
      </c>
      <c r="E7" s="22">
        <f t="shared" si="1"/>
        <v>2750</v>
      </c>
      <c r="F7" s="22">
        <v>2750</v>
      </c>
      <c r="G7" s="32">
        <f t="shared" si="2"/>
        <v>5500</v>
      </c>
      <c r="H7" s="22">
        <v>3750</v>
      </c>
      <c r="I7" s="32">
        <f t="shared" si="3"/>
        <v>9250</v>
      </c>
      <c r="J7" s="22">
        <v>3750</v>
      </c>
      <c r="K7" s="32">
        <f t="shared" si="4"/>
        <v>13000</v>
      </c>
      <c r="L7" s="22">
        <v>3750</v>
      </c>
      <c r="M7" s="32">
        <f t="shared" si="5"/>
        <v>16750</v>
      </c>
      <c r="N7" s="22">
        <v>5750</v>
      </c>
      <c r="O7" s="32">
        <f t="shared" si="6"/>
        <v>22500</v>
      </c>
      <c r="P7" s="22">
        <v>3750</v>
      </c>
      <c r="Q7" s="32">
        <f t="shared" si="7"/>
        <v>26250</v>
      </c>
      <c r="R7" s="22">
        <v>6250</v>
      </c>
      <c r="S7" s="32">
        <f t="shared" si="8"/>
        <v>32500</v>
      </c>
      <c r="T7" s="22">
        <v>3750</v>
      </c>
      <c r="U7" s="32">
        <f t="shared" si="9"/>
        <v>36250</v>
      </c>
      <c r="V7" s="22">
        <v>9250</v>
      </c>
      <c r="W7" s="32">
        <f t="shared" si="10"/>
        <v>45500</v>
      </c>
      <c r="X7" s="22">
        <v>3750</v>
      </c>
      <c r="Y7" s="32">
        <f t="shared" si="11"/>
        <v>49250</v>
      </c>
      <c r="Z7" s="22">
        <v>5750</v>
      </c>
      <c r="AA7" s="32">
        <f t="shared" si="12"/>
        <v>55000</v>
      </c>
      <c r="AB7" s="22">
        <v>2750</v>
      </c>
      <c r="AC7" s="32">
        <f t="shared" si="13"/>
        <v>57750</v>
      </c>
      <c r="AD7" s="22">
        <v>2750</v>
      </c>
      <c r="AE7" s="32">
        <f t="shared" si="14"/>
        <v>60500</v>
      </c>
      <c r="AF7" s="22">
        <v>3750</v>
      </c>
      <c r="AG7" s="32">
        <f t="shared" si="15"/>
        <v>64250</v>
      </c>
      <c r="AH7" s="22">
        <v>3750</v>
      </c>
      <c r="AI7" s="32">
        <f t="shared" si="16"/>
        <v>68000</v>
      </c>
      <c r="AJ7" s="22">
        <v>3750</v>
      </c>
      <c r="AK7" s="32">
        <f t="shared" si="17"/>
        <v>71750</v>
      </c>
      <c r="AL7" s="22">
        <v>5750</v>
      </c>
      <c r="AM7" s="32">
        <f t="shared" si="18"/>
        <v>77500</v>
      </c>
      <c r="AN7" s="22">
        <v>3750</v>
      </c>
      <c r="AO7" s="32">
        <f t="shared" si="19"/>
        <v>81250</v>
      </c>
      <c r="AP7" s="22">
        <v>6250</v>
      </c>
      <c r="AQ7" s="32">
        <f t="shared" si="20"/>
        <v>87500</v>
      </c>
      <c r="AR7" s="22">
        <v>3750</v>
      </c>
      <c r="AS7" s="32">
        <f t="shared" si="21"/>
        <v>91250</v>
      </c>
      <c r="AT7" s="22">
        <v>9250</v>
      </c>
      <c r="AU7" s="32">
        <f t="shared" si="22"/>
        <v>100500</v>
      </c>
      <c r="AV7" s="22">
        <v>3750</v>
      </c>
      <c r="AW7" s="32">
        <f t="shared" si="23"/>
        <v>104250</v>
      </c>
      <c r="AX7" s="22">
        <v>57570</v>
      </c>
      <c r="AY7" s="32">
        <f t="shared" si="24"/>
        <v>161820</v>
      </c>
      <c r="AZ7" s="22">
        <v>2750</v>
      </c>
      <c r="BA7" s="32">
        <f t="shared" si="25"/>
        <v>164570</v>
      </c>
      <c r="BB7" s="22">
        <v>2750</v>
      </c>
      <c r="BC7" s="32">
        <f t="shared" si="26"/>
        <v>167320</v>
      </c>
      <c r="BD7" s="22">
        <v>3750</v>
      </c>
      <c r="BE7" s="32">
        <f t="shared" si="27"/>
        <v>171070</v>
      </c>
      <c r="BF7" s="22">
        <v>3750</v>
      </c>
      <c r="BG7" s="32">
        <f t="shared" si="28"/>
        <v>174820</v>
      </c>
      <c r="BH7" s="22">
        <v>3750</v>
      </c>
      <c r="BI7" s="32">
        <f t="shared" si="29"/>
        <v>178570</v>
      </c>
      <c r="BJ7" s="22">
        <v>5750</v>
      </c>
      <c r="BK7" s="32">
        <f t="shared" si="30"/>
        <v>184320</v>
      </c>
      <c r="BL7" s="22">
        <v>3750</v>
      </c>
      <c r="BM7" s="32">
        <f t="shared" si="31"/>
        <v>188070</v>
      </c>
      <c r="BN7" s="22">
        <v>6250</v>
      </c>
      <c r="BO7" s="32">
        <f t="shared" si="32"/>
        <v>194320</v>
      </c>
      <c r="BP7" s="22">
        <v>3750</v>
      </c>
      <c r="BQ7" s="32">
        <f t="shared" si="33"/>
        <v>198070</v>
      </c>
      <c r="BR7" s="22">
        <v>9250</v>
      </c>
      <c r="BS7" s="32">
        <f t="shared" si="34"/>
        <v>207320</v>
      </c>
      <c r="BT7" s="22">
        <v>3750</v>
      </c>
      <c r="BU7" s="32">
        <f t="shared" si="35"/>
        <v>211070</v>
      </c>
      <c r="BV7" s="22">
        <v>5750</v>
      </c>
      <c r="BW7" s="32">
        <f t="shared" si="36"/>
        <v>216820</v>
      </c>
      <c r="BX7" s="22">
        <v>2750</v>
      </c>
      <c r="BY7" s="32">
        <f t="shared" si="37"/>
        <v>219570</v>
      </c>
      <c r="BZ7" s="22">
        <v>2750</v>
      </c>
      <c r="CA7" s="32">
        <f t="shared" si="38"/>
        <v>222320</v>
      </c>
      <c r="CB7" s="22">
        <v>3750</v>
      </c>
      <c r="CC7" s="32">
        <f t="shared" si="39"/>
        <v>226070</v>
      </c>
      <c r="CD7" s="22">
        <v>3750</v>
      </c>
      <c r="CE7" s="32">
        <f t="shared" si="40"/>
        <v>229820</v>
      </c>
      <c r="CF7" s="22">
        <v>3750</v>
      </c>
      <c r="CG7" s="32">
        <f t="shared" si="41"/>
        <v>233570</v>
      </c>
      <c r="CH7" s="22">
        <v>5750</v>
      </c>
      <c r="CI7" s="32">
        <f t="shared" si="42"/>
        <v>239320</v>
      </c>
      <c r="CJ7" s="22">
        <v>3750</v>
      </c>
      <c r="CK7" s="32">
        <f t="shared" si="43"/>
        <v>243070</v>
      </c>
      <c r="CL7" s="22">
        <v>6250</v>
      </c>
      <c r="CM7" s="32">
        <f t="shared" si="44"/>
        <v>249320</v>
      </c>
      <c r="CN7" s="22">
        <v>3750</v>
      </c>
      <c r="CO7" s="32">
        <f t="shared" si="45"/>
        <v>253070</v>
      </c>
      <c r="CP7" s="22">
        <v>3750</v>
      </c>
      <c r="CQ7" s="32">
        <f t="shared" si="46"/>
        <v>256820</v>
      </c>
      <c r="CR7" s="22">
        <v>9250</v>
      </c>
      <c r="CS7" s="32">
        <f t="shared" si="47"/>
        <v>266070</v>
      </c>
      <c r="CT7" s="22">
        <v>3750</v>
      </c>
      <c r="CU7" s="32">
        <f t="shared" si="48"/>
        <v>269820</v>
      </c>
      <c r="CV7" s="22">
        <v>5750</v>
      </c>
      <c r="CW7" s="32">
        <f t="shared" si="49"/>
        <v>275570</v>
      </c>
      <c r="CX7" s="22">
        <v>2750</v>
      </c>
      <c r="CY7" s="32">
        <f t="shared" si="50"/>
        <v>278320</v>
      </c>
    </row>
    <row r="8" spans="1:104" s="34" customFormat="1">
      <c r="A8" s="34" t="s">
        <v>30</v>
      </c>
      <c r="B8" s="34">
        <v>0</v>
      </c>
      <c r="C8" s="34">
        <f t="shared" si="0"/>
        <v>0</v>
      </c>
      <c r="D8" s="34">
        <v>3150</v>
      </c>
      <c r="E8" s="22">
        <f t="shared" si="1"/>
        <v>3150</v>
      </c>
      <c r="F8" s="22">
        <v>3150</v>
      </c>
      <c r="G8" s="32">
        <f t="shared" si="2"/>
        <v>6300</v>
      </c>
      <c r="H8" s="22">
        <v>3150</v>
      </c>
      <c r="I8" s="32">
        <f t="shared" si="3"/>
        <v>9450</v>
      </c>
      <c r="J8" s="22">
        <v>6500</v>
      </c>
      <c r="K8" s="32">
        <f t="shared" si="4"/>
        <v>15950</v>
      </c>
      <c r="L8" s="22">
        <v>3150</v>
      </c>
      <c r="M8" s="32">
        <f t="shared" si="5"/>
        <v>19100</v>
      </c>
      <c r="N8" s="22">
        <v>7250</v>
      </c>
      <c r="O8" s="32">
        <f t="shared" si="6"/>
        <v>26350</v>
      </c>
      <c r="P8" s="22">
        <v>4400</v>
      </c>
      <c r="Q8" s="32">
        <f t="shared" si="7"/>
        <v>30750</v>
      </c>
      <c r="R8" s="22">
        <v>6500</v>
      </c>
      <c r="S8" s="32">
        <f t="shared" si="8"/>
        <v>37250</v>
      </c>
      <c r="T8" s="22">
        <v>4400</v>
      </c>
      <c r="U8" s="32">
        <f t="shared" si="9"/>
        <v>41650</v>
      </c>
      <c r="V8" s="22">
        <v>9500</v>
      </c>
      <c r="W8" s="32">
        <f t="shared" si="10"/>
        <v>51150</v>
      </c>
      <c r="X8" s="22">
        <v>4400</v>
      </c>
      <c r="Y8" s="32">
        <f t="shared" si="11"/>
        <v>55550</v>
      </c>
      <c r="Z8" s="22">
        <v>10250</v>
      </c>
      <c r="AA8" s="32">
        <f t="shared" si="12"/>
        <v>65800</v>
      </c>
      <c r="AB8" s="22">
        <v>3150</v>
      </c>
      <c r="AC8" s="32">
        <f t="shared" si="13"/>
        <v>68950</v>
      </c>
      <c r="AD8" s="22">
        <v>3150</v>
      </c>
      <c r="AE8" s="32">
        <f t="shared" si="14"/>
        <v>72100</v>
      </c>
      <c r="AF8" s="22">
        <v>3150</v>
      </c>
      <c r="AG8" s="32">
        <f t="shared" si="15"/>
        <v>75250</v>
      </c>
      <c r="AH8" s="22">
        <v>6500</v>
      </c>
      <c r="AI8" s="32">
        <f t="shared" si="16"/>
        <v>81750</v>
      </c>
      <c r="AJ8" s="22">
        <v>3150</v>
      </c>
      <c r="AK8" s="32">
        <f t="shared" si="17"/>
        <v>84900</v>
      </c>
      <c r="AL8" s="22">
        <v>7250</v>
      </c>
      <c r="AM8" s="32">
        <f t="shared" si="18"/>
        <v>92150</v>
      </c>
      <c r="AN8" s="22">
        <v>4400</v>
      </c>
      <c r="AO8" s="32">
        <f t="shared" si="19"/>
        <v>96550</v>
      </c>
      <c r="AP8" s="22">
        <v>6500</v>
      </c>
      <c r="AQ8" s="32">
        <f t="shared" si="20"/>
        <v>103050</v>
      </c>
      <c r="AR8" s="22">
        <v>4400</v>
      </c>
      <c r="AS8" s="32">
        <f t="shared" si="21"/>
        <v>107450</v>
      </c>
      <c r="AT8" s="22">
        <v>9500</v>
      </c>
      <c r="AU8" s="32">
        <f t="shared" si="22"/>
        <v>116950</v>
      </c>
      <c r="AV8" s="22">
        <v>4400</v>
      </c>
      <c r="AW8" s="32">
        <f t="shared" si="23"/>
        <v>121350</v>
      </c>
      <c r="AX8" s="22">
        <v>10250</v>
      </c>
      <c r="AY8" s="32">
        <f t="shared" si="24"/>
        <v>131600</v>
      </c>
      <c r="AZ8" s="22">
        <v>3150</v>
      </c>
      <c r="BA8" s="32">
        <f t="shared" si="25"/>
        <v>134750</v>
      </c>
      <c r="BB8" s="22">
        <v>3150</v>
      </c>
      <c r="BC8" s="32">
        <f t="shared" si="26"/>
        <v>137900</v>
      </c>
      <c r="BD8" s="22">
        <v>3150</v>
      </c>
      <c r="BE8" s="32">
        <f t="shared" si="27"/>
        <v>141050</v>
      </c>
      <c r="BF8" s="22">
        <v>6500</v>
      </c>
      <c r="BG8" s="32">
        <f t="shared" si="28"/>
        <v>147550</v>
      </c>
      <c r="BH8" s="22">
        <v>3150</v>
      </c>
      <c r="BI8" s="32">
        <f t="shared" si="29"/>
        <v>150700</v>
      </c>
      <c r="BJ8" s="22">
        <v>7250</v>
      </c>
      <c r="BK8" s="32">
        <f t="shared" si="30"/>
        <v>157950</v>
      </c>
      <c r="BL8" s="22">
        <v>4400</v>
      </c>
      <c r="BM8" s="32">
        <f t="shared" si="31"/>
        <v>162350</v>
      </c>
      <c r="BN8" s="22">
        <v>6500</v>
      </c>
      <c r="BO8" s="32">
        <f t="shared" si="32"/>
        <v>168850</v>
      </c>
      <c r="BP8" s="22">
        <v>4400</v>
      </c>
      <c r="BQ8" s="32">
        <f t="shared" si="33"/>
        <v>173250</v>
      </c>
      <c r="BR8" s="22">
        <v>9500</v>
      </c>
      <c r="BS8" s="32">
        <f t="shared" si="34"/>
        <v>182750</v>
      </c>
      <c r="BT8" s="22">
        <v>4400</v>
      </c>
      <c r="BU8" s="32">
        <f t="shared" si="35"/>
        <v>187150</v>
      </c>
      <c r="BV8" s="22">
        <v>10250</v>
      </c>
      <c r="BW8" s="32">
        <f t="shared" si="36"/>
        <v>197400</v>
      </c>
      <c r="BX8" s="22">
        <v>3150</v>
      </c>
      <c r="BY8" s="32">
        <f t="shared" si="37"/>
        <v>200550</v>
      </c>
      <c r="BZ8" s="22">
        <v>3150</v>
      </c>
      <c r="CA8" s="32">
        <f t="shared" si="38"/>
        <v>203700</v>
      </c>
      <c r="CB8" s="22">
        <v>3150</v>
      </c>
      <c r="CC8" s="32">
        <f t="shared" si="39"/>
        <v>206850</v>
      </c>
      <c r="CD8" s="22">
        <v>6500</v>
      </c>
      <c r="CE8" s="32">
        <f t="shared" si="40"/>
        <v>213350</v>
      </c>
      <c r="CF8" s="22">
        <v>3150</v>
      </c>
      <c r="CG8" s="32">
        <f t="shared" si="41"/>
        <v>216500</v>
      </c>
      <c r="CH8" s="22">
        <v>7250</v>
      </c>
      <c r="CI8" s="32">
        <f t="shared" si="42"/>
        <v>223750</v>
      </c>
      <c r="CJ8" s="22">
        <v>4400</v>
      </c>
      <c r="CK8" s="32">
        <f t="shared" si="43"/>
        <v>228150</v>
      </c>
      <c r="CL8" s="22">
        <v>6500</v>
      </c>
      <c r="CM8" s="32">
        <f t="shared" si="44"/>
        <v>234650</v>
      </c>
      <c r="CN8" s="22">
        <v>4400</v>
      </c>
      <c r="CO8" s="32">
        <f t="shared" si="45"/>
        <v>239050</v>
      </c>
      <c r="CP8" s="22">
        <v>4400</v>
      </c>
      <c r="CQ8" s="32">
        <f t="shared" si="46"/>
        <v>243450</v>
      </c>
      <c r="CR8" s="22">
        <v>9500</v>
      </c>
      <c r="CS8" s="32">
        <f t="shared" si="47"/>
        <v>252950</v>
      </c>
      <c r="CT8" s="22">
        <v>4400</v>
      </c>
      <c r="CU8" s="32">
        <f t="shared" si="48"/>
        <v>257350</v>
      </c>
      <c r="CV8" s="22">
        <v>10250</v>
      </c>
      <c r="CW8" s="32">
        <f t="shared" si="49"/>
        <v>267600</v>
      </c>
      <c r="CX8" s="22">
        <v>3150</v>
      </c>
      <c r="CY8" s="32">
        <f t="shared" si="50"/>
        <v>270750</v>
      </c>
    </row>
    <row r="9" spans="1:104" s="34" customFormat="1">
      <c r="A9" s="34" t="s">
        <v>33</v>
      </c>
      <c r="B9" s="34">
        <v>0</v>
      </c>
      <c r="C9" s="34">
        <f t="shared" si="0"/>
        <v>0</v>
      </c>
      <c r="D9" s="34">
        <v>1850</v>
      </c>
      <c r="E9" s="22">
        <f t="shared" si="1"/>
        <v>1850</v>
      </c>
      <c r="F9" s="22">
        <v>1850</v>
      </c>
      <c r="G9" s="32">
        <f t="shared" si="2"/>
        <v>3700</v>
      </c>
      <c r="H9" s="22">
        <v>1850</v>
      </c>
      <c r="I9" s="32">
        <f t="shared" si="3"/>
        <v>5550</v>
      </c>
      <c r="J9" s="22">
        <v>1850</v>
      </c>
      <c r="K9" s="32">
        <f t="shared" si="4"/>
        <v>7400</v>
      </c>
      <c r="L9" s="22">
        <v>1850</v>
      </c>
      <c r="M9" s="32">
        <f t="shared" si="5"/>
        <v>9250</v>
      </c>
      <c r="N9" s="22">
        <v>3650</v>
      </c>
      <c r="O9" s="32">
        <f t="shared" si="6"/>
        <v>12900</v>
      </c>
      <c r="P9" s="22">
        <v>2850</v>
      </c>
      <c r="Q9" s="32">
        <f t="shared" si="7"/>
        <v>15750</v>
      </c>
      <c r="R9" s="22">
        <v>3650</v>
      </c>
      <c r="S9" s="32">
        <f t="shared" si="8"/>
        <v>19400</v>
      </c>
      <c r="T9" s="22">
        <v>2850</v>
      </c>
      <c r="U9" s="32">
        <f t="shared" si="9"/>
        <v>22250</v>
      </c>
      <c r="V9" s="22">
        <v>5250</v>
      </c>
      <c r="W9" s="32">
        <f t="shared" si="10"/>
        <v>27500</v>
      </c>
      <c r="X9" s="22">
        <v>2850</v>
      </c>
      <c r="Y9" s="32">
        <f t="shared" si="11"/>
        <v>30350</v>
      </c>
      <c r="Z9" s="22">
        <v>6500</v>
      </c>
      <c r="AA9" s="32">
        <f t="shared" si="12"/>
        <v>36850</v>
      </c>
      <c r="AB9" s="22">
        <v>1850</v>
      </c>
      <c r="AC9" s="32">
        <f t="shared" si="13"/>
        <v>38700</v>
      </c>
      <c r="AD9" s="22">
        <v>1850</v>
      </c>
      <c r="AE9" s="32">
        <f t="shared" si="14"/>
        <v>40550</v>
      </c>
      <c r="AF9" s="22">
        <v>1850</v>
      </c>
      <c r="AG9" s="32">
        <f t="shared" si="15"/>
        <v>42400</v>
      </c>
      <c r="AH9" s="22">
        <v>1850</v>
      </c>
      <c r="AI9" s="32">
        <f t="shared" si="16"/>
        <v>44250</v>
      </c>
      <c r="AJ9" s="22">
        <v>1850</v>
      </c>
      <c r="AK9" s="32">
        <f t="shared" si="17"/>
        <v>46100</v>
      </c>
      <c r="AL9" s="22">
        <v>3650</v>
      </c>
      <c r="AM9" s="32">
        <f t="shared" si="18"/>
        <v>49750</v>
      </c>
      <c r="AN9" s="22">
        <v>2850</v>
      </c>
      <c r="AO9" s="32">
        <f t="shared" si="19"/>
        <v>52600</v>
      </c>
      <c r="AP9" s="22">
        <v>3650</v>
      </c>
      <c r="AQ9" s="32">
        <f t="shared" si="20"/>
        <v>56250</v>
      </c>
      <c r="AR9" s="22">
        <v>2850</v>
      </c>
      <c r="AS9" s="32">
        <f t="shared" si="21"/>
        <v>59100</v>
      </c>
      <c r="AT9" s="22">
        <v>5250</v>
      </c>
      <c r="AU9" s="32">
        <f t="shared" si="22"/>
        <v>64350</v>
      </c>
      <c r="AV9" s="22">
        <v>2850</v>
      </c>
      <c r="AW9" s="32">
        <f t="shared" si="23"/>
        <v>67200</v>
      </c>
      <c r="AX9" s="22">
        <v>6500</v>
      </c>
      <c r="AY9" s="32">
        <f t="shared" si="24"/>
        <v>73700</v>
      </c>
      <c r="AZ9" s="22">
        <v>1850</v>
      </c>
      <c r="BA9" s="32">
        <f t="shared" si="25"/>
        <v>75550</v>
      </c>
      <c r="BB9" s="22">
        <v>1850</v>
      </c>
      <c r="BC9" s="32">
        <f t="shared" si="26"/>
        <v>77400</v>
      </c>
      <c r="BD9" s="22">
        <v>1850</v>
      </c>
      <c r="BE9" s="32">
        <f t="shared" si="27"/>
        <v>79250</v>
      </c>
      <c r="BF9" s="22">
        <v>1850</v>
      </c>
      <c r="BG9" s="32">
        <f t="shared" si="28"/>
        <v>81100</v>
      </c>
      <c r="BH9" s="22">
        <v>1850</v>
      </c>
      <c r="BI9" s="32">
        <f t="shared" si="29"/>
        <v>82950</v>
      </c>
      <c r="BJ9" s="22">
        <v>3650</v>
      </c>
      <c r="BK9" s="32">
        <f t="shared" si="30"/>
        <v>86600</v>
      </c>
      <c r="BL9" s="22">
        <v>2850</v>
      </c>
      <c r="BM9" s="32">
        <f t="shared" si="31"/>
        <v>89450</v>
      </c>
      <c r="BN9" s="22">
        <v>3650</v>
      </c>
      <c r="BO9" s="32">
        <f t="shared" si="32"/>
        <v>93100</v>
      </c>
      <c r="BP9" s="22">
        <v>2850</v>
      </c>
      <c r="BQ9" s="32">
        <f t="shared" si="33"/>
        <v>95950</v>
      </c>
      <c r="BR9" s="22">
        <v>5250</v>
      </c>
      <c r="BS9" s="32">
        <f t="shared" si="34"/>
        <v>101200</v>
      </c>
      <c r="BT9" s="22">
        <v>2850</v>
      </c>
      <c r="BU9" s="32">
        <f t="shared" si="35"/>
        <v>104050</v>
      </c>
      <c r="BV9" s="22">
        <v>6500</v>
      </c>
      <c r="BW9" s="32">
        <f t="shared" si="36"/>
        <v>110550</v>
      </c>
      <c r="BX9" s="22">
        <v>1850</v>
      </c>
      <c r="BY9" s="32">
        <f t="shared" si="37"/>
        <v>112400</v>
      </c>
      <c r="BZ9" s="22">
        <v>1850</v>
      </c>
      <c r="CA9" s="32">
        <f t="shared" si="38"/>
        <v>114250</v>
      </c>
      <c r="CB9" s="22">
        <v>1850</v>
      </c>
      <c r="CC9" s="32">
        <f t="shared" si="39"/>
        <v>116100</v>
      </c>
      <c r="CD9" s="22">
        <v>1850</v>
      </c>
      <c r="CE9" s="32">
        <f t="shared" si="40"/>
        <v>117950</v>
      </c>
      <c r="CF9" s="22">
        <v>1850</v>
      </c>
      <c r="CG9" s="32">
        <f t="shared" si="41"/>
        <v>119800</v>
      </c>
      <c r="CH9" s="22">
        <v>3650</v>
      </c>
      <c r="CI9" s="32">
        <f t="shared" si="42"/>
        <v>123450</v>
      </c>
      <c r="CJ9" s="22">
        <v>2850</v>
      </c>
      <c r="CK9" s="32">
        <f t="shared" si="43"/>
        <v>126300</v>
      </c>
      <c r="CL9" s="22">
        <v>3650</v>
      </c>
      <c r="CM9" s="32">
        <f t="shared" si="44"/>
        <v>129950</v>
      </c>
      <c r="CN9" s="22">
        <v>2850</v>
      </c>
      <c r="CO9" s="32">
        <f t="shared" si="45"/>
        <v>132800</v>
      </c>
      <c r="CP9" s="22">
        <v>2850</v>
      </c>
      <c r="CQ9" s="32">
        <f t="shared" si="46"/>
        <v>135650</v>
      </c>
      <c r="CR9" s="22">
        <v>5250</v>
      </c>
      <c r="CS9" s="32">
        <f t="shared" si="47"/>
        <v>140900</v>
      </c>
      <c r="CT9" s="22">
        <v>2850</v>
      </c>
      <c r="CU9" s="32">
        <f t="shared" si="48"/>
        <v>143750</v>
      </c>
      <c r="CV9" s="22">
        <v>6500</v>
      </c>
      <c r="CW9" s="32">
        <f t="shared" si="49"/>
        <v>150250</v>
      </c>
      <c r="CX9" s="22">
        <v>1850</v>
      </c>
      <c r="CY9" s="32">
        <f t="shared" si="50"/>
        <v>152100</v>
      </c>
      <c r="CZ9" s="33"/>
    </row>
    <row r="10" spans="1:104">
      <c r="A10" s="34" t="s">
        <v>125</v>
      </c>
      <c r="B10" s="34">
        <v>0</v>
      </c>
      <c r="C10" s="34">
        <f t="shared" si="0"/>
        <v>0</v>
      </c>
      <c r="D10" s="34">
        <v>2150</v>
      </c>
      <c r="E10" s="22">
        <f t="shared" si="1"/>
        <v>2150</v>
      </c>
      <c r="F10" s="22">
        <v>2150</v>
      </c>
      <c r="G10" s="32">
        <f t="shared" si="2"/>
        <v>4300</v>
      </c>
      <c r="H10" s="22">
        <v>3400</v>
      </c>
      <c r="I10" s="32">
        <f t="shared" si="3"/>
        <v>7700</v>
      </c>
      <c r="J10" s="22">
        <v>3400</v>
      </c>
      <c r="K10" s="32">
        <f t="shared" si="4"/>
        <v>11100</v>
      </c>
      <c r="L10" s="22">
        <v>3400</v>
      </c>
      <c r="M10" s="32">
        <f t="shared" si="5"/>
        <v>14500</v>
      </c>
      <c r="N10" s="22">
        <v>5500</v>
      </c>
      <c r="O10" s="32">
        <f t="shared" si="6"/>
        <v>20000</v>
      </c>
      <c r="P10" s="22">
        <v>3300</v>
      </c>
      <c r="Q10" s="32">
        <f t="shared" si="7"/>
        <v>23300</v>
      </c>
      <c r="R10" s="22">
        <v>5750</v>
      </c>
      <c r="S10" s="32">
        <f t="shared" si="8"/>
        <v>29050</v>
      </c>
      <c r="T10" s="22">
        <v>3300</v>
      </c>
      <c r="U10" s="32">
        <f t="shared" si="9"/>
        <v>32350</v>
      </c>
      <c r="V10" s="22">
        <v>7500</v>
      </c>
      <c r="W10" s="32">
        <f t="shared" si="10"/>
        <v>39850</v>
      </c>
      <c r="X10" s="22">
        <v>3300</v>
      </c>
      <c r="Y10" s="32">
        <f t="shared" si="11"/>
        <v>43150</v>
      </c>
      <c r="Z10" s="22">
        <v>5500</v>
      </c>
      <c r="AA10" s="32">
        <f t="shared" si="12"/>
        <v>48650</v>
      </c>
      <c r="AB10" s="22">
        <v>2150</v>
      </c>
      <c r="AC10" s="32">
        <f t="shared" si="13"/>
        <v>50800</v>
      </c>
      <c r="AD10" s="22">
        <v>2150</v>
      </c>
      <c r="AE10" s="32">
        <f t="shared" si="14"/>
        <v>52950</v>
      </c>
      <c r="AF10" s="22">
        <v>3400</v>
      </c>
      <c r="AG10" s="32">
        <f t="shared" si="15"/>
        <v>56350</v>
      </c>
      <c r="AH10" s="22">
        <v>3400</v>
      </c>
      <c r="AI10" s="32">
        <f t="shared" si="16"/>
        <v>59750</v>
      </c>
      <c r="AJ10" s="22">
        <v>3400</v>
      </c>
      <c r="AK10" s="32">
        <f t="shared" si="17"/>
        <v>63150</v>
      </c>
      <c r="AL10" s="22">
        <v>5500</v>
      </c>
      <c r="AM10" s="32">
        <f t="shared" si="18"/>
        <v>68650</v>
      </c>
      <c r="AN10" s="22">
        <v>3300</v>
      </c>
      <c r="AO10" s="32">
        <f t="shared" si="19"/>
        <v>71950</v>
      </c>
      <c r="AP10" s="22">
        <v>5750</v>
      </c>
      <c r="AQ10" s="32">
        <f t="shared" si="20"/>
        <v>77700</v>
      </c>
      <c r="AR10" s="22">
        <v>3300</v>
      </c>
      <c r="AS10" s="32">
        <f t="shared" si="21"/>
        <v>81000</v>
      </c>
      <c r="AT10" s="22">
        <v>7500</v>
      </c>
      <c r="AU10" s="32">
        <f t="shared" si="22"/>
        <v>88500</v>
      </c>
      <c r="AV10" s="22">
        <v>3300</v>
      </c>
      <c r="AW10" s="32">
        <f t="shared" si="23"/>
        <v>91800</v>
      </c>
      <c r="AX10" s="22">
        <v>5500</v>
      </c>
      <c r="AY10" s="32">
        <f t="shared" si="24"/>
        <v>97300</v>
      </c>
      <c r="AZ10" s="22">
        <v>2150</v>
      </c>
      <c r="BA10" s="32">
        <f t="shared" si="25"/>
        <v>99450</v>
      </c>
      <c r="BB10" s="22">
        <v>2150</v>
      </c>
      <c r="BC10" s="32">
        <f t="shared" si="26"/>
        <v>101600</v>
      </c>
      <c r="BD10" s="22">
        <v>3400</v>
      </c>
      <c r="BE10" s="32">
        <f t="shared" si="27"/>
        <v>105000</v>
      </c>
      <c r="BF10" s="22">
        <v>3400</v>
      </c>
      <c r="BG10" s="32">
        <f t="shared" si="28"/>
        <v>108400</v>
      </c>
      <c r="BH10" s="22">
        <v>3400</v>
      </c>
      <c r="BI10" s="32">
        <f t="shared" si="29"/>
        <v>111800</v>
      </c>
      <c r="BJ10" s="22">
        <v>5500</v>
      </c>
      <c r="BK10" s="32">
        <f t="shared" si="30"/>
        <v>117300</v>
      </c>
      <c r="BL10" s="22">
        <v>3300</v>
      </c>
      <c r="BM10" s="32">
        <f t="shared" si="31"/>
        <v>120600</v>
      </c>
      <c r="BN10" s="22">
        <v>5750</v>
      </c>
      <c r="BO10" s="32">
        <f t="shared" si="32"/>
        <v>126350</v>
      </c>
      <c r="BP10" s="22">
        <v>3300</v>
      </c>
      <c r="BQ10" s="32">
        <f t="shared" si="33"/>
        <v>129650</v>
      </c>
      <c r="BR10" s="22">
        <v>7500</v>
      </c>
      <c r="BS10" s="32">
        <f t="shared" si="34"/>
        <v>137150</v>
      </c>
      <c r="BT10" s="22">
        <v>3300</v>
      </c>
      <c r="BU10" s="32">
        <f t="shared" si="35"/>
        <v>140450</v>
      </c>
      <c r="BV10" s="22">
        <v>5500</v>
      </c>
      <c r="BW10" s="32">
        <f t="shared" si="36"/>
        <v>145950</v>
      </c>
      <c r="BX10" s="22">
        <v>2150</v>
      </c>
      <c r="BY10" s="32">
        <f t="shared" si="37"/>
        <v>148100</v>
      </c>
      <c r="BZ10" s="22">
        <v>2150</v>
      </c>
      <c r="CA10" s="32">
        <f t="shared" si="38"/>
        <v>150250</v>
      </c>
      <c r="CB10" s="22">
        <v>3400</v>
      </c>
      <c r="CC10" s="32">
        <f t="shared" si="39"/>
        <v>153650</v>
      </c>
      <c r="CD10" s="22">
        <v>3400</v>
      </c>
      <c r="CE10" s="32">
        <f t="shared" si="40"/>
        <v>157050</v>
      </c>
      <c r="CF10" s="22">
        <v>3400</v>
      </c>
      <c r="CG10" s="32">
        <f t="shared" si="41"/>
        <v>160450</v>
      </c>
      <c r="CH10" s="22">
        <v>5500</v>
      </c>
      <c r="CI10" s="32">
        <f t="shared" si="42"/>
        <v>165950</v>
      </c>
      <c r="CJ10" s="22">
        <v>3300</v>
      </c>
      <c r="CK10" s="32">
        <f t="shared" si="43"/>
        <v>169250</v>
      </c>
      <c r="CL10" s="22">
        <v>5750</v>
      </c>
      <c r="CM10" s="32">
        <f t="shared" si="44"/>
        <v>175000</v>
      </c>
      <c r="CN10" s="22">
        <v>3300</v>
      </c>
      <c r="CO10" s="32">
        <f t="shared" si="45"/>
        <v>178300</v>
      </c>
      <c r="CP10" s="22">
        <v>3300</v>
      </c>
      <c r="CQ10" s="32">
        <f t="shared" si="46"/>
        <v>181600</v>
      </c>
      <c r="CR10" s="22">
        <v>7500</v>
      </c>
      <c r="CS10" s="32">
        <f t="shared" si="47"/>
        <v>189100</v>
      </c>
      <c r="CT10" s="22">
        <v>3300</v>
      </c>
      <c r="CU10" s="32">
        <f t="shared" si="48"/>
        <v>192400</v>
      </c>
      <c r="CV10" s="22">
        <v>5500</v>
      </c>
      <c r="CW10" s="32">
        <f t="shared" si="49"/>
        <v>197900</v>
      </c>
      <c r="CX10" s="22">
        <v>2150</v>
      </c>
      <c r="CY10" s="32">
        <f t="shared" si="50"/>
        <v>200050</v>
      </c>
    </row>
    <row r="11" spans="1:104">
      <c r="A11" s="5" t="s">
        <v>32</v>
      </c>
      <c r="B11" s="5">
        <v>0</v>
      </c>
      <c r="C11" s="34">
        <f t="shared" si="0"/>
        <v>0</v>
      </c>
      <c r="D11" s="5">
        <v>3400</v>
      </c>
      <c r="E11" s="22">
        <f t="shared" si="1"/>
        <v>3400</v>
      </c>
      <c r="F11" s="22">
        <v>4400</v>
      </c>
      <c r="G11" s="32">
        <f t="shared" si="2"/>
        <v>7800</v>
      </c>
      <c r="H11" s="22">
        <v>3400</v>
      </c>
      <c r="I11" s="32">
        <f t="shared" si="3"/>
        <v>11200</v>
      </c>
      <c r="J11" s="22">
        <v>6000</v>
      </c>
      <c r="K11" s="32">
        <f t="shared" si="4"/>
        <v>17200</v>
      </c>
      <c r="L11" s="22">
        <v>3400</v>
      </c>
      <c r="M11" s="32">
        <f t="shared" si="5"/>
        <v>20600</v>
      </c>
      <c r="N11" s="22">
        <v>4400</v>
      </c>
      <c r="O11" s="32">
        <f t="shared" si="6"/>
        <v>25000</v>
      </c>
      <c r="P11" s="22">
        <v>3400</v>
      </c>
      <c r="Q11" s="32">
        <f t="shared" si="7"/>
        <v>28400</v>
      </c>
      <c r="R11" s="22">
        <v>6000</v>
      </c>
      <c r="S11" s="32">
        <f t="shared" si="8"/>
        <v>34400</v>
      </c>
      <c r="T11" s="22">
        <v>3400</v>
      </c>
      <c r="U11" s="32">
        <f t="shared" si="9"/>
        <v>37800</v>
      </c>
      <c r="V11" s="22">
        <v>4400</v>
      </c>
      <c r="W11" s="32">
        <f t="shared" si="10"/>
        <v>42200</v>
      </c>
      <c r="X11" s="22">
        <v>3400</v>
      </c>
      <c r="Y11" s="32">
        <f t="shared" si="11"/>
        <v>45600</v>
      </c>
      <c r="Z11" s="22">
        <v>8750</v>
      </c>
      <c r="AA11" s="32">
        <f t="shared" si="12"/>
        <v>54350</v>
      </c>
      <c r="AB11" s="22">
        <v>3400</v>
      </c>
      <c r="AC11" s="32">
        <f t="shared" si="13"/>
        <v>57750</v>
      </c>
      <c r="AD11" s="22">
        <v>4400</v>
      </c>
      <c r="AE11" s="32">
        <f t="shared" si="14"/>
        <v>62150</v>
      </c>
      <c r="AF11" s="22">
        <v>3400</v>
      </c>
      <c r="AG11" s="32">
        <f t="shared" si="15"/>
        <v>65550</v>
      </c>
      <c r="AH11" s="22">
        <v>6000</v>
      </c>
      <c r="AI11" s="32">
        <f t="shared" si="16"/>
        <v>71550</v>
      </c>
      <c r="AJ11" s="22">
        <v>3400</v>
      </c>
      <c r="AK11" s="32">
        <f t="shared" si="17"/>
        <v>74950</v>
      </c>
      <c r="AL11" s="22">
        <v>4400</v>
      </c>
      <c r="AM11" s="32">
        <f t="shared" si="18"/>
        <v>79350</v>
      </c>
      <c r="AN11" s="22">
        <v>3400</v>
      </c>
      <c r="AO11" s="32">
        <f t="shared" si="19"/>
        <v>82750</v>
      </c>
      <c r="AP11" s="22">
        <v>6000</v>
      </c>
      <c r="AQ11" s="32">
        <f t="shared" si="20"/>
        <v>88750</v>
      </c>
      <c r="AR11" s="22">
        <v>3400</v>
      </c>
      <c r="AS11" s="32">
        <f t="shared" si="21"/>
        <v>92150</v>
      </c>
      <c r="AT11" s="22">
        <v>4400</v>
      </c>
      <c r="AU11" s="32">
        <f t="shared" si="22"/>
        <v>96550</v>
      </c>
      <c r="AV11" s="22">
        <v>3400</v>
      </c>
      <c r="AW11" s="32">
        <f t="shared" si="23"/>
        <v>99950</v>
      </c>
      <c r="AX11" s="22">
        <v>8750</v>
      </c>
      <c r="AY11" s="32">
        <f t="shared" si="24"/>
        <v>108700</v>
      </c>
      <c r="AZ11" s="22">
        <v>3400</v>
      </c>
      <c r="BA11" s="32">
        <f t="shared" si="25"/>
        <v>112100</v>
      </c>
      <c r="BB11" s="22">
        <v>4400</v>
      </c>
      <c r="BC11" s="32">
        <f t="shared" si="26"/>
        <v>116500</v>
      </c>
      <c r="BD11" s="22">
        <v>3400</v>
      </c>
      <c r="BE11" s="32">
        <f t="shared" si="27"/>
        <v>119900</v>
      </c>
      <c r="BF11" s="22">
        <v>6000</v>
      </c>
      <c r="BG11" s="32">
        <f t="shared" si="28"/>
        <v>125900</v>
      </c>
      <c r="BH11" s="22">
        <v>3400</v>
      </c>
      <c r="BI11" s="32">
        <f t="shared" si="29"/>
        <v>129300</v>
      </c>
      <c r="BJ11" s="22">
        <v>4400</v>
      </c>
      <c r="BK11" s="32">
        <f t="shared" si="30"/>
        <v>133700</v>
      </c>
      <c r="BL11" s="22">
        <v>3400</v>
      </c>
      <c r="BM11" s="32">
        <f t="shared" si="31"/>
        <v>137100</v>
      </c>
      <c r="BN11" s="22">
        <v>6000</v>
      </c>
      <c r="BO11" s="32">
        <f t="shared" si="32"/>
        <v>143100</v>
      </c>
      <c r="BP11" s="22">
        <v>3400</v>
      </c>
      <c r="BQ11" s="32">
        <f t="shared" si="33"/>
        <v>146500</v>
      </c>
      <c r="BR11" s="22">
        <v>4400</v>
      </c>
      <c r="BS11" s="32">
        <f t="shared" si="34"/>
        <v>150900</v>
      </c>
      <c r="BT11" s="22">
        <v>3400</v>
      </c>
      <c r="BU11" s="32">
        <f t="shared" si="35"/>
        <v>154300</v>
      </c>
      <c r="BV11" s="22">
        <v>8750</v>
      </c>
      <c r="BW11" s="32">
        <f t="shared" si="36"/>
        <v>163050</v>
      </c>
      <c r="BX11" s="22">
        <v>3400</v>
      </c>
      <c r="BY11" s="32">
        <f t="shared" si="37"/>
        <v>166450</v>
      </c>
      <c r="BZ11" s="22">
        <v>4400</v>
      </c>
      <c r="CA11" s="32">
        <f t="shared" si="38"/>
        <v>170850</v>
      </c>
      <c r="CB11" s="22">
        <v>3400</v>
      </c>
      <c r="CC11" s="32">
        <f t="shared" si="39"/>
        <v>174250</v>
      </c>
      <c r="CD11" s="22">
        <v>6000</v>
      </c>
      <c r="CE11" s="32">
        <f t="shared" si="40"/>
        <v>180250</v>
      </c>
      <c r="CF11" s="22">
        <v>3400</v>
      </c>
      <c r="CG11" s="32">
        <f t="shared" si="41"/>
        <v>183650</v>
      </c>
      <c r="CH11" s="22">
        <v>4400</v>
      </c>
      <c r="CI11" s="32">
        <f t="shared" si="42"/>
        <v>188050</v>
      </c>
      <c r="CJ11" s="22">
        <v>3400</v>
      </c>
      <c r="CK11" s="32">
        <f t="shared" si="43"/>
        <v>191450</v>
      </c>
      <c r="CL11" s="22">
        <v>6000</v>
      </c>
      <c r="CM11" s="32">
        <f t="shared" si="44"/>
        <v>197450</v>
      </c>
      <c r="CN11" s="22">
        <v>3400</v>
      </c>
      <c r="CO11" s="32">
        <f t="shared" si="45"/>
        <v>200850</v>
      </c>
      <c r="CP11" s="22">
        <v>3400</v>
      </c>
      <c r="CQ11" s="32">
        <f t="shared" si="46"/>
        <v>204250</v>
      </c>
      <c r="CR11" s="22">
        <v>4400</v>
      </c>
      <c r="CS11" s="32">
        <f t="shared" si="47"/>
        <v>208650</v>
      </c>
      <c r="CT11" s="22">
        <v>3400</v>
      </c>
      <c r="CU11" s="32">
        <f t="shared" si="48"/>
        <v>212050</v>
      </c>
      <c r="CV11" s="22">
        <v>8750</v>
      </c>
      <c r="CW11" s="32">
        <f t="shared" si="49"/>
        <v>220800</v>
      </c>
      <c r="CX11" s="22">
        <v>3400</v>
      </c>
      <c r="CY11" s="32">
        <f t="shared" si="50"/>
        <v>224200</v>
      </c>
    </row>
    <row r="12" spans="1:104">
      <c r="A12" s="5" t="s">
        <v>31</v>
      </c>
      <c r="B12" s="5">
        <v>0</v>
      </c>
      <c r="C12" s="34">
        <f t="shared" si="0"/>
        <v>0</v>
      </c>
      <c r="D12" s="5">
        <v>2650</v>
      </c>
      <c r="E12" s="22">
        <f t="shared" si="1"/>
        <v>2650</v>
      </c>
      <c r="F12" s="22">
        <v>3500</v>
      </c>
      <c r="G12" s="32">
        <f t="shared" si="2"/>
        <v>6150</v>
      </c>
      <c r="H12" s="22">
        <v>2650</v>
      </c>
      <c r="I12" s="32">
        <f t="shared" si="3"/>
        <v>8800</v>
      </c>
      <c r="J12" s="22">
        <v>5000</v>
      </c>
      <c r="K12" s="32">
        <f t="shared" si="4"/>
        <v>13800</v>
      </c>
      <c r="L12" s="22">
        <v>3500</v>
      </c>
      <c r="M12" s="32">
        <f t="shared" si="5"/>
        <v>17300</v>
      </c>
      <c r="N12" s="22">
        <v>3500</v>
      </c>
      <c r="O12" s="32">
        <f t="shared" si="6"/>
        <v>20800</v>
      </c>
      <c r="P12" s="22">
        <v>2650</v>
      </c>
      <c r="Q12" s="32">
        <f t="shared" si="7"/>
        <v>23450</v>
      </c>
      <c r="R12" s="22">
        <v>5000</v>
      </c>
      <c r="S12" s="32">
        <f t="shared" si="8"/>
        <v>28450</v>
      </c>
      <c r="T12" s="22">
        <v>2650</v>
      </c>
      <c r="U12" s="32">
        <f t="shared" si="9"/>
        <v>31100</v>
      </c>
      <c r="V12" s="22">
        <v>3500</v>
      </c>
      <c r="W12" s="32">
        <f t="shared" si="10"/>
        <v>34600</v>
      </c>
      <c r="X12" s="22">
        <v>2600</v>
      </c>
      <c r="Y12" s="32">
        <f t="shared" si="11"/>
        <v>37200</v>
      </c>
      <c r="Z12" s="22">
        <v>7000</v>
      </c>
      <c r="AA12" s="32">
        <f t="shared" si="12"/>
        <v>44200</v>
      </c>
      <c r="AB12" s="22">
        <v>2650</v>
      </c>
      <c r="AC12" s="32">
        <f t="shared" si="13"/>
        <v>46850</v>
      </c>
      <c r="AD12" s="22">
        <v>3500</v>
      </c>
      <c r="AE12" s="32">
        <f t="shared" si="14"/>
        <v>50350</v>
      </c>
      <c r="AF12" s="22">
        <v>2650</v>
      </c>
      <c r="AG12" s="32">
        <f t="shared" si="15"/>
        <v>53000</v>
      </c>
      <c r="AH12" s="22">
        <v>5000</v>
      </c>
      <c r="AI12" s="32">
        <f t="shared" si="16"/>
        <v>58000</v>
      </c>
      <c r="AJ12" s="22">
        <v>2650</v>
      </c>
      <c r="AK12" s="32">
        <f t="shared" si="17"/>
        <v>60650</v>
      </c>
      <c r="AL12" s="22">
        <v>3500</v>
      </c>
      <c r="AM12" s="32">
        <f t="shared" si="18"/>
        <v>64150</v>
      </c>
      <c r="AN12" s="22">
        <v>2650</v>
      </c>
      <c r="AO12" s="32">
        <f t="shared" si="19"/>
        <v>66800</v>
      </c>
      <c r="AP12" s="22">
        <v>5000</v>
      </c>
      <c r="AQ12" s="32">
        <f t="shared" si="20"/>
        <v>71800</v>
      </c>
      <c r="AR12" s="22">
        <v>2650</v>
      </c>
      <c r="AS12" s="32">
        <f t="shared" si="21"/>
        <v>74450</v>
      </c>
      <c r="AT12" s="22">
        <v>3500</v>
      </c>
      <c r="AU12" s="32">
        <f t="shared" si="22"/>
        <v>77950</v>
      </c>
      <c r="AV12" s="22">
        <v>2600</v>
      </c>
      <c r="AW12" s="32">
        <f t="shared" si="23"/>
        <v>80550</v>
      </c>
      <c r="AX12" s="22">
        <v>7000</v>
      </c>
      <c r="AY12" s="32">
        <f t="shared" si="24"/>
        <v>87550</v>
      </c>
      <c r="AZ12" s="22">
        <v>2650</v>
      </c>
      <c r="BA12" s="32">
        <f t="shared" si="25"/>
        <v>90200</v>
      </c>
      <c r="BB12" s="22">
        <v>3500</v>
      </c>
      <c r="BC12" s="32">
        <f t="shared" si="26"/>
        <v>93700</v>
      </c>
      <c r="BD12" s="22">
        <v>2650</v>
      </c>
      <c r="BE12" s="32">
        <f t="shared" si="27"/>
        <v>96350</v>
      </c>
      <c r="BF12" s="22">
        <v>5000</v>
      </c>
      <c r="BG12" s="32">
        <f t="shared" si="28"/>
        <v>101350</v>
      </c>
      <c r="BH12" s="22">
        <v>3500</v>
      </c>
      <c r="BI12" s="32">
        <f t="shared" si="29"/>
        <v>104850</v>
      </c>
      <c r="BJ12" s="22">
        <v>3500</v>
      </c>
      <c r="BK12" s="32">
        <f t="shared" si="30"/>
        <v>108350</v>
      </c>
      <c r="BL12" s="22">
        <v>2650</v>
      </c>
      <c r="BM12" s="32">
        <f t="shared" si="31"/>
        <v>111000</v>
      </c>
      <c r="BN12" s="22">
        <v>5000</v>
      </c>
      <c r="BO12" s="32">
        <f t="shared" si="32"/>
        <v>116000</v>
      </c>
      <c r="BP12" s="22">
        <v>2650</v>
      </c>
      <c r="BQ12" s="32">
        <f t="shared" si="33"/>
        <v>118650</v>
      </c>
      <c r="BR12" s="22">
        <v>3500</v>
      </c>
      <c r="BS12" s="32">
        <f t="shared" si="34"/>
        <v>122150</v>
      </c>
      <c r="BT12" s="22">
        <v>2600</v>
      </c>
      <c r="BU12" s="32">
        <f t="shared" si="35"/>
        <v>124750</v>
      </c>
      <c r="BV12" s="22">
        <v>7000</v>
      </c>
      <c r="BW12" s="32">
        <f t="shared" si="36"/>
        <v>131750</v>
      </c>
      <c r="BX12" s="22">
        <v>2650</v>
      </c>
      <c r="BY12" s="32">
        <f t="shared" si="37"/>
        <v>134400</v>
      </c>
      <c r="BZ12" s="22">
        <v>3500</v>
      </c>
      <c r="CA12" s="32">
        <f t="shared" si="38"/>
        <v>137900</v>
      </c>
      <c r="CB12" s="22">
        <v>2650</v>
      </c>
      <c r="CC12" s="32">
        <f t="shared" si="39"/>
        <v>140550</v>
      </c>
      <c r="CD12" s="22">
        <v>5000</v>
      </c>
      <c r="CE12" s="32">
        <f t="shared" si="40"/>
        <v>145550</v>
      </c>
      <c r="CF12" s="22">
        <v>3500</v>
      </c>
      <c r="CG12" s="32">
        <f t="shared" si="41"/>
        <v>149050</v>
      </c>
      <c r="CH12" s="22">
        <v>3500</v>
      </c>
      <c r="CI12" s="32">
        <f t="shared" si="42"/>
        <v>152550</v>
      </c>
      <c r="CJ12" s="22">
        <v>2650</v>
      </c>
      <c r="CK12" s="32">
        <f t="shared" si="43"/>
        <v>155200</v>
      </c>
      <c r="CL12" s="22">
        <v>5000</v>
      </c>
      <c r="CM12" s="32">
        <f t="shared" si="44"/>
        <v>160200</v>
      </c>
      <c r="CN12" s="22">
        <v>2650</v>
      </c>
      <c r="CO12" s="32">
        <f t="shared" si="45"/>
        <v>162850</v>
      </c>
      <c r="CP12" s="22">
        <v>2650</v>
      </c>
      <c r="CQ12" s="32">
        <f t="shared" si="46"/>
        <v>165500</v>
      </c>
      <c r="CR12" s="22">
        <v>3500</v>
      </c>
      <c r="CS12" s="32">
        <f t="shared" si="47"/>
        <v>169000</v>
      </c>
      <c r="CT12" s="22">
        <v>2600</v>
      </c>
      <c r="CU12" s="32">
        <f t="shared" si="48"/>
        <v>171600</v>
      </c>
      <c r="CV12" s="22">
        <v>7000</v>
      </c>
      <c r="CW12" s="32">
        <f t="shared" si="49"/>
        <v>178600</v>
      </c>
      <c r="CX12" s="22">
        <v>2650</v>
      </c>
      <c r="CY12" s="32">
        <f t="shared" si="50"/>
        <v>181250</v>
      </c>
    </row>
    <row r="13" spans="1:104">
      <c r="A13" s="5" t="s">
        <v>120</v>
      </c>
      <c r="B13" s="5">
        <v>0</v>
      </c>
      <c r="C13" s="34">
        <f t="shared" si="0"/>
        <v>0</v>
      </c>
      <c r="D13" s="5">
        <v>0</v>
      </c>
      <c r="E13" s="22">
        <f t="shared" si="1"/>
        <v>0</v>
      </c>
      <c r="F13" s="22">
        <v>300</v>
      </c>
      <c r="G13" s="32">
        <f>E13+F13</f>
        <v>300</v>
      </c>
      <c r="H13" s="22">
        <v>300</v>
      </c>
      <c r="I13" s="32">
        <f>G13+H13</f>
        <v>600</v>
      </c>
      <c r="J13" s="22">
        <v>300</v>
      </c>
      <c r="K13" s="32">
        <f>I13+J13</f>
        <v>900</v>
      </c>
      <c r="L13" s="22">
        <v>2750</v>
      </c>
      <c r="M13" s="32">
        <f>K13+L13</f>
        <v>3650</v>
      </c>
      <c r="N13" s="22">
        <v>2750</v>
      </c>
      <c r="O13" s="32">
        <f>M13+N13</f>
        <v>6400</v>
      </c>
      <c r="P13" s="22">
        <v>2750</v>
      </c>
      <c r="Q13" s="32">
        <f>O13+P13</f>
        <v>9150</v>
      </c>
      <c r="R13" s="22">
        <v>2750</v>
      </c>
      <c r="S13" s="32">
        <f>Q13+R13</f>
        <v>11900</v>
      </c>
      <c r="T13" s="22">
        <v>2750</v>
      </c>
      <c r="U13" s="32">
        <f>S13+T13</f>
        <v>14650</v>
      </c>
      <c r="V13" s="22">
        <v>2750</v>
      </c>
      <c r="W13" s="32">
        <f>U13+V13</f>
        <v>17400</v>
      </c>
      <c r="X13" s="22">
        <v>3000</v>
      </c>
      <c r="Y13" s="32">
        <f>W13+X13</f>
        <v>20400</v>
      </c>
      <c r="Z13" s="22">
        <v>3000</v>
      </c>
      <c r="AA13" s="32">
        <f>Y13+Z13</f>
        <v>23400</v>
      </c>
      <c r="AB13" s="22">
        <v>3000</v>
      </c>
      <c r="AC13" s="32">
        <f>AA13+AB13</f>
        <v>26400</v>
      </c>
      <c r="AD13" s="22">
        <v>3000</v>
      </c>
      <c r="AE13" s="32">
        <f>AC13+AD13</f>
        <v>29400</v>
      </c>
      <c r="AF13" s="22">
        <v>3000</v>
      </c>
      <c r="AG13" s="32">
        <f>AE13+AF13</f>
        <v>32400</v>
      </c>
      <c r="AH13" s="22">
        <v>3000</v>
      </c>
      <c r="AI13" s="32">
        <f>AG13+AH13</f>
        <v>35400</v>
      </c>
      <c r="AJ13" s="22">
        <v>3000</v>
      </c>
      <c r="AK13" s="32">
        <f>AI13+AJ13</f>
        <v>38400</v>
      </c>
      <c r="AL13" s="22">
        <v>3000</v>
      </c>
      <c r="AM13" s="32">
        <f>AK13+AL13</f>
        <v>41400</v>
      </c>
      <c r="AN13" s="22">
        <v>3000</v>
      </c>
      <c r="AO13" s="32">
        <f>AM13+AN13</f>
        <v>44400</v>
      </c>
      <c r="AP13" s="22">
        <v>3000</v>
      </c>
      <c r="AQ13" s="32">
        <f>AO13+AP13</f>
        <v>47400</v>
      </c>
      <c r="AR13" s="22">
        <v>3000</v>
      </c>
      <c r="AS13" s="32">
        <f>AQ13+AR13</f>
        <v>50400</v>
      </c>
      <c r="AT13" s="22">
        <v>3000</v>
      </c>
      <c r="AU13" s="32">
        <f>AS13+AT13</f>
        <v>53400</v>
      </c>
      <c r="AV13" s="22">
        <v>3000</v>
      </c>
      <c r="AW13" s="32">
        <f>AU13+AV13</f>
        <v>56400</v>
      </c>
      <c r="AX13" s="22">
        <v>3000</v>
      </c>
      <c r="AY13" s="32">
        <f>AW13+AX13</f>
        <v>59400</v>
      </c>
      <c r="AZ13" s="22">
        <v>0</v>
      </c>
      <c r="BA13" s="32">
        <f>AY13+AZ13</f>
        <v>59400</v>
      </c>
      <c r="BB13" s="22">
        <v>300</v>
      </c>
      <c r="BC13" s="32">
        <f>BA13+BB13</f>
        <v>59700</v>
      </c>
      <c r="BD13" s="22">
        <v>300</v>
      </c>
      <c r="BE13" s="32">
        <f>BC13+BD13</f>
        <v>60000</v>
      </c>
      <c r="BF13" s="22">
        <v>300</v>
      </c>
      <c r="BG13" s="32">
        <f>BE13+BF13</f>
        <v>60300</v>
      </c>
      <c r="BH13" s="22">
        <v>2750</v>
      </c>
      <c r="BI13" s="32">
        <f>BG13+BH13</f>
        <v>63050</v>
      </c>
      <c r="BJ13" s="22">
        <v>2750</v>
      </c>
      <c r="BK13" s="32">
        <f>BI13+BJ13</f>
        <v>65800</v>
      </c>
      <c r="BL13" s="22">
        <v>2750</v>
      </c>
      <c r="BM13" s="32">
        <f>BK13+BL13</f>
        <v>68550</v>
      </c>
      <c r="BN13" s="22">
        <v>2750</v>
      </c>
      <c r="BO13" s="32">
        <f>BM13+BN13</f>
        <v>71300</v>
      </c>
      <c r="BP13" s="22">
        <v>2750</v>
      </c>
      <c r="BQ13" s="32">
        <f>BO13+BP13</f>
        <v>74050</v>
      </c>
      <c r="BR13" s="22">
        <v>2750</v>
      </c>
      <c r="BS13" s="32">
        <f>BQ13+BR13</f>
        <v>76800</v>
      </c>
      <c r="BT13" s="22">
        <v>3000</v>
      </c>
      <c r="BU13" s="32">
        <f>BS13+BT13</f>
        <v>79800</v>
      </c>
      <c r="BV13" s="22">
        <v>3000</v>
      </c>
      <c r="BW13" s="32">
        <f>BU13+BV13</f>
        <v>82800</v>
      </c>
      <c r="BX13" s="22">
        <v>0</v>
      </c>
      <c r="BY13" s="32">
        <f>BW13+BX13</f>
        <v>82800</v>
      </c>
      <c r="BZ13" s="22">
        <v>300</v>
      </c>
      <c r="CA13" s="32">
        <f>BY13+BZ13</f>
        <v>83100</v>
      </c>
      <c r="CB13" s="22">
        <v>300</v>
      </c>
      <c r="CC13" s="32">
        <f>CA13+CB13</f>
        <v>83400</v>
      </c>
      <c r="CD13" s="22">
        <v>300</v>
      </c>
      <c r="CE13" s="32">
        <f>CC13+CD13</f>
        <v>83700</v>
      </c>
      <c r="CF13" s="22">
        <v>2750</v>
      </c>
      <c r="CG13" s="32">
        <f>CE13+CF13</f>
        <v>86450</v>
      </c>
      <c r="CH13" s="22">
        <v>2750</v>
      </c>
      <c r="CI13" s="32">
        <f>CG13+CH13</f>
        <v>89200</v>
      </c>
      <c r="CJ13" s="22">
        <v>2750</v>
      </c>
      <c r="CK13" s="32">
        <f>CI13+CJ13</f>
        <v>91950</v>
      </c>
      <c r="CL13" s="22">
        <v>2750</v>
      </c>
      <c r="CM13" s="32">
        <f>CK13+CL13</f>
        <v>94700</v>
      </c>
      <c r="CN13" s="22">
        <v>2750</v>
      </c>
      <c r="CO13" s="32">
        <f>CM13+CN13</f>
        <v>97450</v>
      </c>
      <c r="CP13" s="22">
        <v>2750</v>
      </c>
      <c r="CQ13" s="32">
        <f>CO13+CP13</f>
        <v>100200</v>
      </c>
      <c r="CR13" s="22">
        <v>2750</v>
      </c>
      <c r="CS13" s="32">
        <f>CQ13+CR13</f>
        <v>102950</v>
      </c>
      <c r="CT13" s="22">
        <v>3000</v>
      </c>
      <c r="CU13" s="32">
        <f>CS13+CT13</f>
        <v>105950</v>
      </c>
      <c r="CV13" s="22">
        <v>3000</v>
      </c>
      <c r="CW13" s="32">
        <f>CU13+CV13</f>
        <v>108950</v>
      </c>
      <c r="CX13" s="22">
        <v>0</v>
      </c>
      <c r="CY13" s="32">
        <f>CW13+CX13</f>
        <v>108950</v>
      </c>
    </row>
    <row r="14" spans="1:104">
      <c r="A14" s="5" t="s">
        <v>119</v>
      </c>
      <c r="B14" s="5">
        <v>0</v>
      </c>
      <c r="C14" s="34">
        <f t="shared" si="0"/>
        <v>0</v>
      </c>
      <c r="D14" s="5">
        <v>0</v>
      </c>
      <c r="E14" s="22">
        <f t="shared" si="1"/>
        <v>0</v>
      </c>
      <c r="F14" s="22">
        <v>300</v>
      </c>
      <c r="G14" s="32">
        <f t="shared" ref="G14:G18" si="51">E14+F14</f>
        <v>300</v>
      </c>
      <c r="H14" s="22">
        <v>300</v>
      </c>
      <c r="I14" s="32">
        <f t="shared" ref="I14:I18" si="52">G14+H14</f>
        <v>600</v>
      </c>
      <c r="J14" s="22">
        <v>300</v>
      </c>
      <c r="K14" s="32">
        <f t="shared" ref="K14:K18" si="53">I14+J14</f>
        <v>900</v>
      </c>
      <c r="L14" s="22">
        <v>2750</v>
      </c>
      <c r="M14" s="32">
        <f t="shared" ref="M14:M18" si="54">K14+L14</f>
        <v>3650</v>
      </c>
      <c r="N14" s="22">
        <v>2750</v>
      </c>
      <c r="O14" s="32">
        <f t="shared" ref="O14:O18" si="55">M14+N14</f>
        <v>6400</v>
      </c>
      <c r="P14" s="22">
        <v>2750</v>
      </c>
      <c r="Q14" s="32">
        <f t="shared" ref="Q14:Q18" si="56">O14+P14</f>
        <v>9150</v>
      </c>
      <c r="R14" s="22">
        <v>2750</v>
      </c>
      <c r="S14" s="32">
        <f t="shared" ref="S14:S18" si="57">Q14+R14</f>
        <v>11900</v>
      </c>
      <c r="T14" s="22">
        <v>2750</v>
      </c>
      <c r="U14" s="32">
        <f t="shared" ref="U14:U18" si="58">S14+T14</f>
        <v>14650</v>
      </c>
      <c r="V14" s="22">
        <v>2750</v>
      </c>
      <c r="W14" s="32">
        <f t="shared" ref="W14:W18" si="59">U14+V14</f>
        <v>17400</v>
      </c>
      <c r="X14" s="22">
        <v>3000</v>
      </c>
      <c r="Y14" s="32">
        <f t="shared" ref="Y14:Y18" si="60">W14+X14</f>
        <v>20400</v>
      </c>
      <c r="Z14" s="22">
        <v>3000</v>
      </c>
      <c r="AA14" s="32">
        <f t="shared" ref="AA14:AA18" si="61">Y14+Z14</f>
        <v>23400</v>
      </c>
      <c r="AB14" s="22">
        <v>3000</v>
      </c>
      <c r="AC14" s="32">
        <f t="shared" ref="AC14:AC18" si="62">AA14+AB14</f>
        <v>26400</v>
      </c>
      <c r="AD14" s="22">
        <v>3000</v>
      </c>
      <c r="AE14" s="32">
        <f t="shared" ref="AE14:AE18" si="63">AC14+AD14</f>
        <v>29400</v>
      </c>
      <c r="AF14" s="22">
        <v>3000</v>
      </c>
      <c r="AG14" s="32">
        <f t="shared" ref="AG14:AG18" si="64">AE14+AF14</f>
        <v>32400</v>
      </c>
      <c r="AH14" s="22">
        <v>3000</v>
      </c>
      <c r="AI14" s="32">
        <f t="shared" ref="AI14:AI18" si="65">AG14+AH14</f>
        <v>35400</v>
      </c>
      <c r="AJ14" s="22">
        <v>3000</v>
      </c>
      <c r="AK14" s="32">
        <f t="shared" ref="AK14:AK18" si="66">AI14+AJ14</f>
        <v>38400</v>
      </c>
      <c r="AL14" s="22">
        <v>3000</v>
      </c>
      <c r="AM14" s="32">
        <f t="shared" ref="AM14:AM18" si="67">AK14+AL14</f>
        <v>41400</v>
      </c>
      <c r="AN14" s="22">
        <v>3000</v>
      </c>
      <c r="AO14" s="32">
        <f t="shared" ref="AO14:AO18" si="68">AM14+AN14</f>
        <v>44400</v>
      </c>
      <c r="AP14" s="22">
        <v>3000</v>
      </c>
      <c r="AQ14" s="32">
        <f t="shared" ref="AQ14:AQ18" si="69">AO14+AP14</f>
        <v>47400</v>
      </c>
      <c r="AR14" s="22">
        <v>3000</v>
      </c>
      <c r="AS14" s="32">
        <f t="shared" ref="AS14:AS18" si="70">AQ14+AR14</f>
        <v>50400</v>
      </c>
      <c r="AT14" s="22">
        <v>3000</v>
      </c>
      <c r="AU14" s="32">
        <f t="shared" ref="AU14:AU18" si="71">AS14+AT14</f>
        <v>53400</v>
      </c>
      <c r="AV14" s="22">
        <v>3000</v>
      </c>
      <c r="AW14" s="32">
        <f t="shared" ref="AW14:AW18" si="72">AU14+AV14</f>
        <v>56400</v>
      </c>
      <c r="AX14" s="22">
        <v>3000</v>
      </c>
      <c r="AY14" s="32">
        <f t="shared" ref="AY14:AY18" si="73">AW14+AX14</f>
        <v>59400</v>
      </c>
      <c r="AZ14" s="22">
        <v>0</v>
      </c>
      <c r="BA14" s="32">
        <f t="shared" ref="BA14:BA18" si="74">AY14+AZ14</f>
        <v>59400</v>
      </c>
      <c r="BB14" s="22">
        <v>300</v>
      </c>
      <c r="BC14" s="32">
        <f t="shared" ref="BC14:BC18" si="75">BA14+BB14</f>
        <v>59700</v>
      </c>
      <c r="BD14" s="22">
        <v>300</v>
      </c>
      <c r="BE14" s="32">
        <f t="shared" ref="BE14:BE18" si="76">BC14+BD14</f>
        <v>60000</v>
      </c>
      <c r="BF14" s="22">
        <v>300</v>
      </c>
      <c r="BG14" s="32">
        <f t="shared" ref="BG14:BG18" si="77">BE14+BF14</f>
        <v>60300</v>
      </c>
      <c r="BH14" s="22">
        <v>2750</v>
      </c>
      <c r="BI14" s="32">
        <f t="shared" ref="BI14:BI18" si="78">BG14+BH14</f>
        <v>63050</v>
      </c>
      <c r="BJ14" s="22">
        <v>2750</v>
      </c>
      <c r="BK14" s="32">
        <f t="shared" ref="BK14:BK18" si="79">BI14+BJ14</f>
        <v>65800</v>
      </c>
      <c r="BL14" s="22">
        <v>2750</v>
      </c>
      <c r="BM14" s="32">
        <f t="shared" ref="BM14:BM18" si="80">BK14+BL14</f>
        <v>68550</v>
      </c>
      <c r="BN14" s="22">
        <v>2750</v>
      </c>
      <c r="BO14" s="32">
        <f t="shared" ref="BO14:BO18" si="81">BM14+BN14</f>
        <v>71300</v>
      </c>
      <c r="BP14" s="22">
        <v>2750</v>
      </c>
      <c r="BQ14" s="32">
        <f t="shared" ref="BQ14:BQ18" si="82">BO14+BP14</f>
        <v>74050</v>
      </c>
      <c r="BR14" s="22">
        <v>2750</v>
      </c>
      <c r="BS14" s="32">
        <f t="shared" ref="BS14:BS18" si="83">BQ14+BR14</f>
        <v>76800</v>
      </c>
      <c r="BT14" s="22">
        <v>3000</v>
      </c>
      <c r="BU14" s="32">
        <f t="shared" ref="BU14:BU18" si="84">BS14+BT14</f>
        <v>79800</v>
      </c>
      <c r="BV14" s="22">
        <v>3000</v>
      </c>
      <c r="BW14" s="32">
        <f t="shared" ref="BW14:BW18" si="85">BU14+BV14</f>
        <v>82800</v>
      </c>
      <c r="BX14" s="22">
        <v>0</v>
      </c>
      <c r="BY14" s="32">
        <f t="shared" ref="BY14:BY18" si="86">BW14+BX14</f>
        <v>82800</v>
      </c>
      <c r="BZ14" s="22">
        <v>300</v>
      </c>
      <c r="CA14" s="32">
        <f t="shared" ref="CA14:CA18" si="87">BY14+BZ14</f>
        <v>83100</v>
      </c>
      <c r="CB14" s="22">
        <v>300</v>
      </c>
      <c r="CC14" s="32">
        <f t="shared" ref="CC14:CC18" si="88">CA14+CB14</f>
        <v>83400</v>
      </c>
      <c r="CD14" s="22">
        <v>300</v>
      </c>
      <c r="CE14" s="32">
        <f t="shared" ref="CE14:CE18" si="89">CC14+CD14</f>
        <v>83700</v>
      </c>
      <c r="CF14" s="22">
        <v>2750</v>
      </c>
      <c r="CG14" s="32">
        <f t="shared" ref="CG14:CG18" si="90">CE14+CF14</f>
        <v>86450</v>
      </c>
      <c r="CH14" s="22">
        <v>2750</v>
      </c>
      <c r="CI14" s="32">
        <f t="shared" ref="CI14:CI18" si="91">CG14+CH14</f>
        <v>89200</v>
      </c>
      <c r="CJ14" s="22">
        <v>2750</v>
      </c>
      <c r="CK14" s="32">
        <f t="shared" ref="CK14:CK18" si="92">CI14+CJ14</f>
        <v>91950</v>
      </c>
      <c r="CL14" s="22">
        <v>2750</v>
      </c>
      <c r="CM14" s="32">
        <f t="shared" ref="CM14:CM18" si="93">CK14+CL14</f>
        <v>94700</v>
      </c>
      <c r="CN14" s="22">
        <v>2750</v>
      </c>
      <c r="CO14" s="32">
        <f t="shared" ref="CO14:CO18" si="94">CM14+CN14</f>
        <v>97450</v>
      </c>
      <c r="CP14" s="22">
        <v>2750</v>
      </c>
      <c r="CQ14" s="32">
        <f t="shared" ref="CQ14:CQ18" si="95">CO14+CP14</f>
        <v>100200</v>
      </c>
      <c r="CR14" s="22">
        <v>2750</v>
      </c>
      <c r="CS14" s="32">
        <f t="shared" ref="CS14:CS18" si="96">CQ14+CR14</f>
        <v>102950</v>
      </c>
      <c r="CT14" s="22">
        <v>3000</v>
      </c>
      <c r="CU14" s="32">
        <f t="shared" ref="CU14:CU18" si="97">CS14+CT14</f>
        <v>105950</v>
      </c>
      <c r="CV14" s="22">
        <v>3000</v>
      </c>
      <c r="CW14" s="32">
        <f t="shared" ref="CW14:CW18" si="98">CU14+CV14</f>
        <v>108950</v>
      </c>
      <c r="CX14" s="22">
        <v>0</v>
      </c>
      <c r="CY14" s="32">
        <f t="shared" ref="CY14:CY18" si="99">CW14+CX14</f>
        <v>108950</v>
      </c>
    </row>
    <row r="15" spans="1:104">
      <c r="A15" s="5" t="s">
        <v>122</v>
      </c>
      <c r="B15" s="5">
        <v>0</v>
      </c>
      <c r="C15" s="34">
        <f t="shared" si="0"/>
        <v>0</v>
      </c>
      <c r="D15" s="5">
        <v>0</v>
      </c>
      <c r="E15" s="22">
        <f t="shared" si="1"/>
        <v>0</v>
      </c>
      <c r="F15" s="22">
        <v>1400</v>
      </c>
      <c r="G15" s="32">
        <f t="shared" si="51"/>
        <v>1400</v>
      </c>
      <c r="H15" s="22">
        <v>0</v>
      </c>
      <c r="I15" s="32">
        <f t="shared" si="52"/>
        <v>1400</v>
      </c>
      <c r="J15" s="22">
        <v>1100</v>
      </c>
      <c r="K15" s="32">
        <f t="shared" si="53"/>
        <v>2500</v>
      </c>
      <c r="L15" s="22">
        <v>3250</v>
      </c>
      <c r="M15" s="32">
        <f t="shared" si="54"/>
        <v>5750</v>
      </c>
      <c r="N15" s="22">
        <v>3250</v>
      </c>
      <c r="O15" s="32">
        <f t="shared" si="55"/>
        <v>9000</v>
      </c>
      <c r="P15" s="22">
        <v>700</v>
      </c>
      <c r="Q15" s="32">
        <f t="shared" si="56"/>
        <v>9700</v>
      </c>
      <c r="R15" s="22">
        <v>2750</v>
      </c>
      <c r="S15" s="32">
        <f t="shared" si="57"/>
        <v>12450</v>
      </c>
      <c r="T15" s="22">
        <v>700</v>
      </c>
      <c r="U15" s="32">
        <f t="shared" si="58"/>
        <v>13150</v>
      </c>
      <c r="V15" s="22">
        <v>3750</v>
      </c>
      <c r="W15" s="32">
        <f t="shared" si="59"/>
        <v>16900</v>
      </c>
      <c r="X15" s="22">
        <v>3250</v>
      </c>
      <c r="Y15" s="32">
        <f t="shared" si="60"/>
        <v>20150</v>
      </c>
      <c r="Z15" s="22">
        <v>4000</v>
      </c>
      <c r="AA15" s="32">
        <f t="shared" si="61"/>
        <v>24150</v>
      </c>
      <c r="AB15" s="22">
        <v>4000</v>
      </c>
      <c r="AC15" s="32">
        <f t="shared" si="62"/>
        <v>28150</v>
      </c>
      <c r="AD15" s="22">
        <v>4000</v>
      </c>
      <c r="AE15" s="32">
        <f t="shared" si="63"/>
        <v>32150</v>
      </c>
      <c r="AF15" s="22">
        <v>4000</v>
      </c>
      <c r="AG15" s="32">
        <f t="shared" si="64"/>
        <v>36150</v>
      </c>
      <c r="AH15" s="22">
        <v>4000</v>
      </c>
      <c r="AI15" s="32">
        <f t="shared" si="65"/>
        <v>40150</v>
      </c>
      <c r="AJ15" s="22">
        <v>4000</v>
      </c>
      <c r="AK15" s="32">
        <f t="shared" si="66"/>
        <v>44150</v>
      </c>
      <c r="AL15" s="22">
        <v>4000</v>
      </c>
      <c r="AM15" s="32">
        <f t="shared" si="67"/>
        <v>48150</v>
      </c>
      <c r="AN15" s="22">
        <v>4000</v>
      </c>
      <c r="AO15" s="32">
        <f t="shared" si="68"/>
        <v>52150</v>
      </c>
      <c r="AP15" s="22">
        <v>4000</v>
      </c>
      <c r="AQ15" s="32">
        <f t="shared" si="69"/>
        <v>56150</v>
      </c>
      <c r="AR15" s="22">
        <v>4000</v>
      </c>
      <c r="AS15" s="32">
        <f t="shared" si="70"/>
        <v>60150</v>
      </c>
      <c r="AT15" s="22">
        <v>4000</v>
      </c>
      <c r="AU15" s="32">
        <f t="shared" si="71"/>
        <v>64150</v>
      </c>
      <c r="AV15" s="22">
        <v>4000</v>
      </c>
      <c r="AW15" s="32">
        <f t="shared" si="72"/>
        <v>68150</v>
      </c>
      <c r="AX15" s="22">
        <v>4000</v>
      </c>
      <c r="AY15" s="32">
        <f t="shared" si="73"/>
        <v>72150</v>
      </c>
      <c r="AZ15" s="22">
        <v>0</v>
      </c>
      <c r="BA15" s="32">
        <f t="shared" si="74"/>
        <v>72150</v>
      </c>
      <c r="BB15" s="22">
        <v>1400</v>
      </c>
      <c r="BC15" s="32">
        <f t="shared" si="75"/>
        <v>73550</v>
      </c>
      <c r="BD15" s="22">
        <v>0</v>
      </c>
      <c r="BE15" s="32">
        <f t="shared" si="76"/>
        <v>73550</v>
      </c>
      <c r="BF15" s="22">
        <v>1100</v>
      </c>
      <c r="BG15" s="32">
        <f t="shared" si="77"/>
        <v>74650</v>
      </c>
      <c r="BH15" s="22">
        <v>3250</v>
      </c>
      <c r="BI15" s="32">
        <f t="shared" si="78"/>
        <v>77900</v>
      </c>
      <c r="BJ15" s="22">
        <v>3250</v>
      </c>
      <c r="BK15" s="32">
        <f t="shared" si="79"/>
        <v>81150</v>
      </c>
      <c r="BL15" s="22">
        <v>700</v>
      </c>
      <c r="BM15" s="32">
        <f t="shared" si="80"/>
        <v>81850</v>
      </c>
      <c r="BN15" s="22">
        <v>2750</v>
      </c>
      <c r="BO15" s="32">
        <f t="shared" si="81"/>
        <v>84600</v>
      </c>
      <c r="BP15" s="22">
        <v>700</v>
      </c>
      <c r="BQ15" s="32">
        <f t="shared" si="82"/>
        <v>85300</v>
      </c>
      <c r="BR15" s="22">
        <v>3750</v>
      </c>
      <c r="BS15" s="32">
        <f t="shared" si="83"/>
        <v>89050</v>
      </c>
      <c r="BT15" s="22">
        <v>3250</v>
      </c>
      <c r="BU15" s="32">
        <f t="shared" si="84"/>
        <v>92300</v>
      </c>
      <c r="BV15" s="22">
        <v>4000</v>
      </c>
      <c r="BW15" s="32">
        <f t="shared" si="85"/>
        <v>96300</v>
      </c>
      <c r="BX15" s="22">
        <v>0</v>
      </c>
      <c r="BY15" s="32">
        <f t="shared" si="86"/>
        <v>96300</v>
      </c>
      <c r="BZ15" s="22">
        <v>1400</v>
      </c>
      <c r="CA15" s="32">
        <f t="shared" si="87"/>
        <v>97700</v>
      </c>
      <c r="CB15" s="22">
        <v>0</v>
      </c>
      <c r="CC15" s="32">
        <f t="shared" si="88"/>
        <v>97700</v>
      </c>
      <c r="CD15" s="22">
        <v>1100</v>
      </c>
      <c r="CE15" s="32">
        <f t="shared" si="89"/>
        <v>98800</v>
      </c>
      <c r="CF15" s="22">
        <v>3250</v>
      </c>
      <c r="CG15" s="32">
        <f t="shared" si="90"/>
        <v>102050</v>
      </c>
      <c r="CH15" s="22">
        <v>3250</v>
      </c>
      <c r="CI15" s="32">
        <f t="shared" si="91"/>
        <v>105300</v>
      </c>
      <c r="CJ15" s="22">
        <v>700</v>
      </c>
      <c r="CK15" s="32">
        <f t="shared" si="92"/>
        <v>106000</v>
      </c>
      <c r="CL15" s="22">
        <v>2750</v>
      </c>
      <c r="CM15" s="32">
        <f t="shared" si="93"/>
        <v>108750</v>
      </c>
      <c r="CN15" s="22">
        <v>700</v>
      </c>
      <c r="CO15" s="32">
        <f t="shared" si="94"/>
        <v>109450</v>
      </c>
      <c r="CP15" s="22">
        <v>700</v>
      </c>
      <c r="CQ15" s="32">
        <f t="shared" si="95"/>
        <v>110150</v>
      </c>
      <c r="CR15" s="22">
        <v>3750</v>
      </c>
      <c r="CS15" s="32">
        <f t="shared" si="96"/>
        <v>113900</v>
      </c>
      <c r="CT15" s="22">
        <v>3250</v>
      </c>
      <c r="CU15" s="32">
        <f t="shared" si="97"/>
        <v>117150</v>
      </c>
      <c r="CV15" s="22">
        <v>4000</v>
      </c>
      <c r="CW15" s="32">
        <f t="shared" si="98"/>
        <v>121150</v>
      </c>
      <c r="CX15" s="22">
        <v>0</v>
      </c>
      <c r="CY15" s="32">
        <f t="shared" si="99"/>
        <v>121150</v>
      </c>
    </row>
    <row r="16" spans="1:104">
      <c r="A16" s="5" t="s">
        <v>121</v>
      </c>
      <c r="B16" s="5">
        <v>0</v>
      </c>
      <c r="C16" s="34">
        <f t="shared" si="0"/>
        <v>0</v>
      </c>
      <c r="D16" s="5">
        <v>0</v>
      </c>
      <c r="E16" s="22">
        <f t="shared" si="1"/>
        <v>0</v>
      </c>
      <c r="F16" s="22">
        <v>1400</v>
      </c>
      <c r="G16" s="32">
        <f t="shared" si="51"/>
        <v>1400</v>
      </c>
      <c r="H16" s="22">
        <v>0</v>
      </c>
      <c r="I16" s="32">
        <f t="shared" si="52"/>
        <v>1400</v>
      </c>
      <c r="J16" s="22">
        <v>1100</v>
      </c>
      <c r="K16" s="32">
        <f t="shared" si="53"/>
        <v>2500</v>
      </c>
      <c r="L16" s="22">
        <v>3250</v>
      </c>
      <c r="M16" s="32">
        <f t="shared" si="54"/>
        <v>5750</v>
      </c>
      <c r="N16" s="22">
        <v>3250</v>
      </c>
      <c r="O16" s="32">
        <f t="shared" si="55"/>
        <v>9000</v>
      </c>
      <c r="P16" s="22">
        <v>700</v>
      </c>
      <c r="Q16" s="32">
        <f t="shared" si="56"/>
        <v>9700</v>
      </c>
      <c r="R16" s="22">
        <v>2750</v>
      </c>
      <c r="S16" s="32">
        <f t="shared" si="57"/>
        <v>12450</v>
      </c>
      <c r="T16" s="22">
        <v>700</v>
      </c>
      <c r="U16" s="32">
        <f t="shared" si="58"/>
        <v>13150</v>
      </c>
      <c r="V16" s="22">
        <v>3750</v>
      </c>
      <c r="W16" s="32">
        <f t="shared" si="59"/>
        <v>16900</v>
      </c>
      <c r="X16" s="22">
        <v>3250</v>
      </c>
      <c r="Y16" s="32">
        <f t="shared" si="60"/>
        <v>20150</v>
      </c>
      <c r="Z16" s="22">
        <v>4000</v>
      </c>
      <c r="AA16" s="32">
        <f t="shared" si="61"/>
        <v>24150</v>
      </c>
      <c r="AB16" s="22">
        <v>4000</v>
      </c>
      <c r="AC16" s="32">
        <f t="shared" si="62"/>
        <v>28150</v>
      </c>
      <c r="AD16" s="22">
        <v>4000</v>
      </c>
      <c r="AE16" s="32">
        <f t="shared" si="63"/>
        <v>32150</v>
      </c>
      <c r="AF16" s="22">
        <v>4000</v>
      </c>
      <c r="AG16" s="32">
        <f t="shared" si="64"/>
        <v>36150</v>
      </c>
      <c r="AH16" s="22">
        <v>4000</v>
      </c>
      <c r="AI16" s="32">
        <f t="shared" si="65"/>
        <v>40150</v>
      </c>
      <c r="AJ16" s="22">
        <v>4000</v>
      </c>
      <c r="AK16" s="32">
        <f t="shared" si="66"/>
        <v>44150</v>
      </c>
      <c r="AL16" s="22">
        <v>4000</v>
      </c>
      <c r="AM16" s="32">
        <f t="shared" si="67"/>
        <v>48150</v>
      </c>
      <c r="AN16" s="22">
        <v>4000</v>
      </c>
      <c r="AO16" s="32">
        <f t="shared" si="68"/>
        <v>52150</v>
      </c>
      <c r="AP16" s="22">
        <v>4000</v>
      </c>
      <c r="AQ16" s="32">
        <f t="shared" si="69"/>
        <v>56150</v>
      </c>
      <c r="AR16" s="22">
        <v>4000</v>
      </c>
      <c r="AS16" s="32">
        <f t="shared" si="70"/>
        <v>60150</v>
      </c>
      <c r="AT16" s="22">
        <v>4000</v>
      </c>
      <c r="AU16" s="32">
        <f t="shared" si="71"/>
        <v>64150</v>
      </c>
      <c r="AV16" s="22">
        <v>4000</v>
      </c>
      <c r="AW16" s="32">
        <f t="shared" si="72"/>
        <v>68150</v>
      </c>
      <c r="AX16" s="22">
        <v>4000</v>
      </c>
      <c r="AY16" s="32">
        <f t="shared" si="73"/>
        <v>72150</v>
      </c>
      <c r="AZ16" s="22">
        <v>0</v>
      </c>
      <c r="BA16" s="32">
        <f t="shared" si="74"/>
        <v>72150</v>
      </c>
      <c r="BB16" s="22">
        <v>1400</v>
      </c>
      <c r="BC16" s="32">
        <f t="shared" si="75"/>
        <v>73550</v>
      </c>
      <c r="BD16" s="22">
        <v>0</v>
      </c>
      <c r="BE16" s="32">
        <f t="shared" si="76"/>
        <v>73550</v>
      </c>
      <c r="BF16" s="22">
        <v>1100</v>
      </c>
      <c r="BG16" s="32">
        <f t="shared" si="77"/>
        <v>74650</v>
      </c>
      <c r="BH16" s="22">
        <v>3250</v>
      </c>
      <c r="BI16" s="32">
        <f t="shared" si="78"/>
        <v>77900</v>
      </c>
      <c r="BJ16" s="22">
        <v>3250</v>
      </c>
      <c r="BK16" s="32">
        <f t="shared" si="79"/>
        <v>81150</v>
      </c>
      <c r="BL16" s="22">
        <v>700</v>
      </c>
      <c r="BM16" s="32">
        <f t="shared" si="80"/>
        <v>81850</v>
      </c>
      <c r="BN16" s="22">
        <v>2750</v>
      </c>
      <c r="BO16" s="32">
        <f t="shared" si="81"/>
        <v>84600</v>
      </c>
      <c r="BP16" s="22">
        <v>700</v>
      </c>
      <c r="BQ16" s="32">
        <f t="shared" si="82"/>
        <v>85300</v>
      </c>
      <c r="BR16" s="22">
        <v>3750</v>
      </c>
      <c r="BS16" s="32">
        <f t="shared" si="83"/>
        <v>89050</v>
      </c>
      <c r="BT16" s="22">
        <v>3250</v>
      </c>
      <c r="BU16" s="32">
        <f t="shared" si="84"/>
        <v>92300</v>
      </c>
      <c r="BV16" s="22">
        <v>4000</v>
      </c>
      <c r="BW16" s="32">
        <f t="shared" si="85"/>
        <v>96300</v>
      </c>
      <c r="BX16" s="22">
        <v>0</v>
      </c>
      <c r="BY16" s="32">
        <f t="shared" si="86"/>
        <v>96300</v>
      </c>
      <c r="BZ16" s="22">
        <v>1400</v>
      </c>
      <c r="CA16" s="32">
        <f t="shared" si="87"/>
        <v>97700</v>
      </c>
      <c r="CB16" s="22">
        <v>0</v>
      </c>
      <c r="CC16" s="32">
        <f t="shared" si="88"/>
        <v>97700</v>
      </c>
      <c r="CD16" s="22">
        <v>1100</v>
      </c>
      <c r="CE16" s="32">
        <f t="shared" si="89"/>
        <v>98800</v>
      </c>
      <c r="CF16" s="22">
        <v>3250</v>
      </c>
      <c r="CG16" s="32">
        <f t="shared" si="90"/>
        <v>102050</v>
      </c>
      <c r="CH16" s="22">
        <v>3250</v>
      </c>
      <c r="CI16" s="32">
        <f t="shared" si="91"/>
        <v>105300</v>
      </c>
      <c r="CJ16" s="52">
        <v>700</v>
      </c>
      <c r="CK16" s="32">
        <f t="shared" si="92"/>
        <v>106000</v>
      </c>
      <c r="CL16" s="22">
        <v>2750</v>
      </c>
      <c r="CM16" s="32">
        <f t="shared" si="93"/>
        <v>108750</v>
      </c>
      <c r="CN16" s="22">
        <v>700</v>
      </c>
      <c r="CO16" s="32">
        <f t="shared" si="94"/>
        <v>109450</v>
      </c>
      <c r="CP16" s="22">
        <v>700</v>
      </c>
      <c r="CQ16" s="32">
        <f t="shared" si="95"/>
        <v>110150</v>
      </c>
      <c r="CR16" s="22">
        <v>3750</v>
      </c>
      <c r="CS16" s="32">
        <f t="shared" si="96"/>
        <v>113900</v>
      </c>
      <c r="CT16" s="22">
        <v>3250</v>
      </c>
      <c r="CU16" s="32">
        <f t="shared" si="97"/>
        <v>117150</v>
      </c>
      <c r="CV16" s="22">
        <v>4000</v>
      </c>
      <c r="CW16" s="32">
        <f t="shared" si="98"/>
        <v>121150</v>
      </c>
      <c r="CX16" s="22">
        <v>0</v>
      </c>
      <c r="CY16" s="32">
        <f t="shared" si="99"/>
        <v>121150</v>
      </c>
    </row>
    <row r="17" spans="1:116" s="6" customFormat="1">
      <c r="A17" s="5" t="s">
        <v>118</v>
      </c>
      <c r="B17" s="5">
        <v>1300</v>
      </c>
      <c r="C17" s="34">
        <f t="shared" si="0"/>
        <v>1300</v>
      </c>
      <c r="D17" s="5">
        <v>0</v>
      </c>
      <c r="E17" s="22">
        <f>B17+D17</f>
        <v>1300</v>
      </c>
      <c r="F17" s="22">
        <v>2000</v>
      </c>
      <c r="G17" s="32">
        <f t="shared" si="51"/>
        <v>3300</v>
      </c>
      <c r="H17" s="22">
        <v>0</v>
      </c>
      <c r="I17" s="32">
        <f t="shared" si="52"/>
        <v>3300</v>
      </c>
      <c r="J17" s="22">
        <v>3750</v>
      </c>
      <c r="K17" s="32">
        <f t="shared" si="53"/>
        <v>7050</v>
      </c>
      <c r="L17" s="22">
        <v>2500</v>
      </c>
      <c r="M17" s="32">
        <f t="shared" si="54"/>
        <v>9550</v>
      </c>
      <c r="N17" s="22">
        <v>2500</v>
      </c>
      <c r="O17" s="32">
        <f t="shared" si="55"/>
        <v>12050</v>
      </c>
      <c r="P17" s="22">
        <v>0</v>
      </c>
      <c r="Q17" s="32">
        <f t="shared" si="56"/>
        <v>12050</v>
      </c>
      <c r="R17" s="22">
        <v>5750</v>
      </c>
      <c r="S17" s="32">
        <f t="shared" si="57"/>
        <v>17800</v>
      </c>
      <c r="T17" s="22">
        <v>0</v>
      </c>
      <c r="U17" s="32">
        <f t="shared" si="58"/>
        <v>17800</v>
      </c>
      <c r="V17" s="22">
        <v>2000</v>
      </c>
      <c r="W17" s="32">
        <f t="shared" si="59"/>
        <v>19800</v>
      </c>
      <c r="X17" s="22">
        <v>0</v>
      </c>
      <c r="Y17" s="32">
        <f t="shared" si="60"/>
        <v>19800</v>
      </c>
      <c r="Z17" s="22">
        <v>4750</v>
      </c>
      <c r="AA17" s="32">
        <f t="shared" si="61"/>
        <v>24550</v>
      </c>
      <c r="AB17" s="22">
        <v>0</v>
      </c>
      <c r="AC17" s="32">
        <f t="shared" si="62"/>
        <v>24550</v>
      </c>
      <c r="AD17" s="22">
        <v>2000</v>
      </c>
      <c r="AE17" s="32">
        <f t="shared" si="63"/>
        <v>26550</v>
      </c>
      <c r="AF17" s="22">
        <v>0</v>
      </c>
      <c r="AG17" s="32">
        <f t="shared" si="64"/>
        <v>26550</v>
      </c>
      <c r="AH17" s="22">
        <v>7250</v>
      </c>
      <c r="AI17" s="32">
        <f t="shared" si="65"/>
        <v>33800</v>
      </c>
      <c r="AJ17" s="22">
        <v>0</v>
      </c>
      <c r="AK17" s="32">
        <f t="shared" si="66"/>
        <v>33800</v>
      </c>
      <c r="AL17" s="22">
        <v>2000</v>
      </c>
      <c r="AM17" s="32">
        <f t="shared" si="67"/>
        <v>35800</v>
      </c>
      <c r="AN17" s="22">
        <v>0</v>
      </c>
      <c r="AO17" s="32">
        <f t="shared" si="68"/>
        <v>35800</v>
      </c>
      <c r="AP17" s="22">
        <v>6750</v>
      </c>
      <c r="AQ17" s="32">
        <f t="shared" si="69"/>
        <v>42550</v>
      </c>
      <c r="AR17" s="22">
        <v>0</v>
      </c>
      <c r="AS17" s="32">
        <f t="shared" si="70"/>
        <v>42550</v>
      </c>
      <c r="AT17" s="22">
        <v>2000</v>
      </c>
      <c r="AU17" s="32">
        <f t="shared" si="71"/>
        <v>44550</v>
      </c>
      <c r="AV17" s="22">
        <v>0</v>
      </c>
      <c r="AW17" s="32">
        <f t="shared" si="72"/>
        <v>44550</v>
      </c>
      <c r="AX17" s="22">
        <v>4150</v>
      </c>
      <c r="AY17" s="32">
        <f t="shared" si="73"/>
        <v>48700</v>
      </c>
      <c r="AZ17" s="22">
        <v>0</v>
      </c>
      <c r="BA17" s="32">
        <f t="shared" si="74"/>
        <v>48700</v>
      </c>
      <c r="BB17" s="22">
        <v>2000</v>
      </c>
      <c r="BC17" s="32">
        <f t="shared" si="75"/>
        <v>50700</v>
      </c>
      <c r="BD17" s="22">
        <v>0</v>
      </c>
      <c r="BE17" s="32">
        <f t="shared" si="76"/>
        <v>50700</v>
      </c>
      <c r="BF17" s="22">
        <v>3750</v>
      </c>
      <c r="BG17" s="32">
        <f t="shared" si="77"/>
        <v>54450</v>
      </c>
      <c r="BH17" s="22">
        <v>2500</v>
      </c>
      <c r="BI17" s="32">
        <f t="shared" si="78"/>
        <v>56950</v>
      </c>
      <c r="BJ17" s="22">
        <v>2500</v>
      </c>
      <c r="BK17" s="32">
        <f t="shared" si="79"/>
        <v>59450</v>
      </c>
      <c r="BL17" s="22">
        <v>0</v>
      </c>
      <c r="BM17" s="32">
        <f t="shared" si="80"/>
        <v>59450</v>
      </c>
      <c r="BN17" s="22">
        <v>5750</v>
      </c>
      <c r="BO17" s="32">
        <f t="shared" si="81"/>
        <v>65200</v>
      </c>
      <c r="BP17" s="22">
        <v>0</v>
      </c>
      <c r="BQ17" s="32">
        <f t="shared" si="82"/>
        <v>65200</v>
      </c>
      <c r="BR17" s="22">
        <v>2000</v>
      </c>
      <c r="BS17" s="32">
        <f t="shared" si="83"/>
        <v>67200</v>
      </c>
      <c r="BT17" s="22">
        <v>0</v>
      </c>
      <c r="BU17" s="32">
        <f t="shared" si="84"/>
        <v>67200</v>
      </c>
      <c r="BV17" s="22">
        <v>4750</v>
      </c>
      <c r="BW17" s="32">
        <f t="shared" si="85"/>
        <v>71950</v>
      </c>
      <c r="BX17" s="22">
        <v>0</v>
      </c>
      <c r="BY17" s="32">
        <f t="shared" si="86"/>
        <v>71950</v>
      </c>
      <c r="BZ17" s="22">
        <v>2000</v>
      </c>
      <c r="CA17" s="32">
        <f t="shared" si="87"/>
        <v>73950</v>
      </c>
      <c r="CB17" s="22">
        <v>0</v>
      </c>
      <c r="CC17" s="32">
        <f t="shared" si="88"/>
        <v>73950</v>
      </c>
      <c r="CD17" s="22">
        <v>3750</v>
      </c>
      <c r="CE17" s="32">
        <f t="shared" si="89"/>
        <v>77700</v>
      </c>
      <c r="CF17" s="22">
        <v>2500</v>
      </c>
      <c r="CG17" s="32">
        <f t="shared" si="90"/>
        <v>80200</v>
      </c>
      <c r="CH17" s="22">
        <v>2500</v>
      </c>
      <c r="CI17" s="32">
        <f t="shared" si="91"/>
        <v>82700</v>
      </c>
      <c r="CJ17" s="22">
        <v>0</v>
      </c>
      <c r="CK17" s="32">
        <f t="shared" si="92"/>
        <v>82700</v>
      </c>
      <c r="CL17" s="22">
        <v>5750</v>
      </c>
      <c r="CM17" s="32">
        <f t="shared" si="93"/>
        <v>88450</v>
      </c>
      <c r="CN17" s="22">
        <v>0</v>
      </c>
      <c r="CO17" s="32">
        <f t="shared" si="94"/>
        <v>88450</v>
      </c>
      <c r="CP17" s="22">
        <v>0</v>
      </c>
      <c r="CQ17" s="32">
        <f t="shared" si="95"/>
        <v>88450</v>
      </c>
      <c r="CR17" s="22">
        <v>2000</v>
      </c>
      <c r="CS17" s="32">
        <f t="shared" si="96"/>
        <v>90450</v>
      </c>
      <c r="CT17" s="22">
        <v>0</v>
      </c>
      <c r="CU17" s="32">
        <f t="shared" si="97"/>
        <v>90450</v>
      </c>
      <c r="CV17" s="22">
        <v>4750</v>
      </c>
      <c r="CW17" s="32">
        <f t="shared" si="98"/>
        <v>95200</v>
      </c>
      <c r="CX17" s="22">
        <v>0</v>
      </c>
      <c r="CY17" s="32">
        <f t="shared" si="99"/>
        <v>95200</v>
      </c>
      <c r="CZ17" s="22"/>
      <c r="DA17" s="22"/>
      <c r="DB17" s="22"/>
      <c r="DC17" s="22"/>
      <c r="DD17" s="22"/>
      <c r="DE17" s="22"/>
      <c r="DF17" s="22"/>
      <c r="DG17" s="22"/>
      <c r="DH17" s="22"/>
      <c r="DI17" s="22"/>
      <c r="DJ17" s="22"/>
      <c r="DK17" s="22"/>
      <c r="DL17" s="22"/>
    </row>
    <row r="18" spans="1:116">
      <c r="A18" s="5" t="s">
        <v>123</v>
      </c>
      <c r="B18" s="5">
        <v>1300</v>
      </c>
      <c r="C18" s="34">
        <f t="shared" si="0"/>
        <v>1300</v>
      </c>
      <c r="D18" s="5">
        <v>0</v>
      </c>
      <c r="E18" s="22">
        <f>B18+D18</f>
        <v>1300</v>
      </c>
      <c r="F18" s="22">
        <v>2000</v>
      </c>
      <c r="G18" s="32">
        <f t="shared" si="51"/>
        <v>3300</v>
      </c>
      <c r="H18" s="22">
        <v>0</v>
      </c>
      <c r="I18" s="32">
        <f t="shared" si="52"/>
        <v>3300</v>
      </c>
      <c r="J18" s="22">
        <v>3750</v>
      </c>
      <c r="K18" s="32">
        <f t="shared" si="53"/>
        <v>7050</v>
      </c>
      <c r="L18" s="22">
        <v>2500</v>
      </c>
      <c r="M18" s="32">
        <f t="shared" si="54"/>
        <v>9550</v>
      </c>
      <c r="N18" s="22">
        <v>2500</v>
      </c>
      <c r="O18" s="32">
        <f t="shared" si="55"/>
        <v>12050</v>
      </c>
      <c r="P18" s="22">
        <v>0</v>
      </c>
      <c r="Q18" s="32">
        <f t="shared" si="56"/>
        <v>12050</v>
      </c>
      <c r="R18" s="22">
        <v>5750</v>
      </c>
      <c r="S18" s="32">
        <f t="shared" si="57"/>
        <v>17800</v>
      </c>
      <c r="T18" s="22">
        <v>0</v>
      </c>
      <c r="U18" s="32">
        <f t="shared" si="58"/>
        <v>17800</v>
      </c>
      <c r="V18" s="22">
        <v>2000</v>
      </c>
      <c r="W18" s="32">
        <f t="shared" si="59"/>
        <v>19800</v>
      </c>
      <c r="X18" s="22">
        <v>0</v>
      </c>
      <c r="Y18" s="32">
        <f t="shared" si="60"/>
        <v>19800</v>
      </c>
      <c r="Z18" s="22">
        <v>4750</v>
      </c>
      <c r="AA18" s="32">
        <f t="shared" si="61"/>
        <v>24550</v>
      </c>
      <c r="AB18" s="22">
        <v>0</v>
      </c>
      <c r="AC18" s="32">
        <f t="shared" si="62"/>
        <v>24550</v>
      </c>
      <c r="AD18" s="22">
        <v>2000</v>
      </c>
      <c r="AE18" s="32">
        <f t="shared" si="63"/>
        <v>26550</v>
      </c>
      <c r="AF18" s="22">
        <v>0</v>
      </c>
      <c r="AG18" s="32">
        <f t="shared" si="64"/>
        <v>26550</v>
      </c>
      <c r="AH18" s="22">
        <v>7250</v>
      </c>
      <c r="AI18" s="32">
        <f t="shared" si="65"/>
        <v>33800</v>
      </c>
      <c r="AJ18" s="22">
        <v>0</v>
      </c>
      <c r="AK18" s="32">
        <f t="shared" si="66"/>
        <v>33800</v>
      </c>
      <c r="AL18" s="22">
        <v>2000</v>
      </c>
      <c r="AM18" s="32">
        <f t="shared" si="67"/>
        <v>35800</v>
      </c>
      <c r="AN18" s="22">
        <v>0</v>
      </c>
      <c r="AO18" s="32">
        <f t="shared" si="68"/>
        <v>35800</v>
      </c>
      <c r="AP18" s="22">
        <v>6750</v>
      </c>
      <c r="AQ18" s="32">
        <f t="shared" si="69"/>
        <v>42550</v>
      </c>
      <c r="AR18" s="22">
        <v>0</v>
      </c>
      <c r="AS18" s="32">
        <f t="shared" si="70"/>
        <v>42550</v>
      </c>
      <c r="AT18" s="22">
        <v>2000</v>
      </c>
      <c r="AU18" s="32">
        <f t="shared" si="71"/>
        <v>44550</v>
      </c>
      <c r="AV18" s="22">
        <v>0</v>
      </c>
      <c r="AW18" s="32">
        <f t="shared" si="72"/>
        <v>44550</v>
      </c>
      <c r="AX18" s="22">
        <v>4150</v>
      </c>
      <c r="AY18" s="32">
        <f t="shared" si="73"/>
        <v>48700</v>
      </c>
      <c r="AZ18" s="22">
        <v>0</v>
      </c>
      <c r="BA18" s="32">
        <f t="shared" si="74"/>
        <v>48700</v>
      </c>
      <c r="BB18" s="22">
        <v>2000</v>
      </c>
      <c r="BC18" s="32">
        <f t="shared" si="75"/>
        <v>50700</v>
      </c>
      <c r="BD18" s="22">
        <v>0</v>
      </c>
      <c r="BE18" s="32">
        <f t="shared" si="76"/>
        <v>50700</v>
      </c>
      <c r="BF18" s="22">
        <v>3750</v>
      </c>
      <c r="BG18" s="32">
        <f t="shared" si="77"/>
        <v>54450</v>
      </c>
      <c r="BH18" s="22">
        <v>2500</v>
      </c>
      <c r="BI18" s="32">
        <f t="shared" si="78"/>
        <v>56950</v>
      </c>
      <c r="BJ18" s="22">
        <v>2500</v>
      </c>
      <c r="BK18" s="32">
        <f t="shared" si="79"/>
        <v>59450</v>
      </c>
      <c r="BL18" s="22">
        <v>0</v>
      </c>
      <c r="BM18" s="32">
        <f t="shared" si="80"/>
        <v>59450</v>
      </c>
      <c r="BN18" s="22">
        <v>5750</v>
      </c>
      <c r="BO18" s="32">
        <f t="shared" si="81"/>
        <v>65200</v>
      </c>
      <c r="BP18" s="22">
        <v>0</v>
      </c>
      <c r="BQ18" s="32">
        <f t="shared" si="82"/>
        <v>65200</v>
      </c>
      <c r="BR18" s="22">
        <v>2000</v>
      </c>
      <c r="BS18" s="32">
        <f t="shared" si="83"/>
        <v>67200</v>
      </c>
      <c r="BT18" s="22">
        <v>0</v>
      </c>
      <c r="BU18" s="32">
        <f t="shared" si="84"/>
        <v>67200</v>
      </c>
      <c r="BV18" s="22">
        <v>4750</v>
      </c>
      <c r="BW18" s="32">
        <f t="shared" si="85"/>
        <v>71950</v>
      </c>
      <c r="BX18" s="22">
        <v>0</v>
      </c>
      <c r="BY18" s="32">
        <f t="shared" si="86"/>
        <v>71950</v>
      </c>
      <c r="BZ18" s="22">
        <v>2000</v>
      </c>
      <c r="CA18" s="32">
        <f t="shared" si="87"/>
        <v>73950</v>
      </c>
      <c r="CB18" s="22">
        <v>0</v>
      </c>
      <c r="CC18" s="32">
        <f t="shared" si="88"/>
        <v>73950</v>
      </c>
      <c r="CD18" s="22">
        <v>3750</v>
      </c>
      <c r="CE18" s="32">
        <f t="shared" si="89"/>
        <v>77700</v>
      </c>
      <c r="CF18" s="22">
        <v>2500</v>
      </c>
      <c r="CG18" s="32">
        <f t="shared" si="90"/>
        <v>80200</v>
      </c>
      <c r="CH18" s="22">
        <v>2500</v>
      </c>
      <c r="CI18" s="32">
        <f t="shared" si="91"/>
        <v>82700</v>
      </c>
      <c r="CJ18" s="22">
        <v>0</v>
      </c>
      <c r="CK18" s="32">
        <f t="shared" si="92"/>
        <v>82700</v>
      </c>
      <c r="CL18" s="22">
        <v>5750</v>
      </c>
      <c r="CM18" s="32">
        <f t="shared" si="93"/>
        <v>88450</v>
      </c>
      <c r="CN18" s="22">
        <v>0</v>
      </c>
      <c r="CO18" s="32">
        <f t="shared" si="94"/>
        <v>88450</v>
      </c>
      <c r="CP18" s="22">
        <v>0</v>
      </c>
      <c r="CQ18" s="32">
        <f t="shared" si="95"/>
        <v>88450</v>
      </c>
      <c r="CR18" s="22">
        <v>2000</v>
      </c>
      <c r="CS18" s="32">
        <f t="shared" si="96"/>
        <v>90450</v>
      </c>
      <c r="CT18" s="22">
        <v>0</v>
      </c>
      <c r="CU18" s="32">
        <f t="shared" si="97"/>
        <v>90450</v>
      </c>
      <c r="CV18" s="22">
        <v>4750</v>
      </c>
      <c r="CW18" s="32">
        <f t="shared" si="98"/>
        <v>95200</v>
      </c>
      <c r="CX18" s="22">
        <v>0</v>
      </c>
      <c r="CY18" s="32">
        <f t="shared" si="99"/>
        <v>95200</v>
      </c>
      <c r="CZ18" s="22"/>
      <c r="DA18" s="22"/>
      <c r="DB18" s="35"/>
      <c r="DC18" s="35"/>
    </row>
  </sheetData>
  <mergeCells count="1">
    <mergeCell ref="E2:AQ2"/>
  </mergeCells>
  <pageMargins left="0.7" right="0.7" top="0.75" bottom="0.75" header="0.3" footer="0.3"/>
  <pageSetup paperSize="9" orientation="portrait" r:id="rId1"/>
  <ignoredErrors>
    <ignoredError sqref="CZ11:CZ13" formula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เวิร์กชีต</vt:lpstr>
      </vt:variant>
      <vt:variant>
        <vt:i4>14</vt:i4>
      </vt:variant>
    </vt:vector>
  </HeadingPairs>
  <TitlesOfParts>
    <vt:vector size="14" baseType="lpstr">
      <vt:lpstr>ตารางคำนวน</vt:lpstr>
      <vt:lpstr>ราคาเริ่มต้น</vt:lpstr>
      <vt:lpstr>ค่าพลังงาน</vt:lpstr>
      <vt:lpstr>ภาษีประจำปี</vt:lpstr>
      <vt:lpstr>ประกันภัยบังคับ</vt:lpstr>
      <vt:lpstr>ประกันภัยชั้น1</vt:lpstr>
      <vt:lpstr>แบตเตอร์รี่ (ปี)</vt:lpstr>
      <vt:lpstr>แบตเตอรี(ระยะทาง) </vt:lpstr>
      <vt:lpstr>แบตเตอรีไฟฟ้า (ปี)</vt:lpstr>
      <vt:lpstr>แบตเตอรีรถไฟฟ้า(ระยะทาง)</vt:lpstr>
      <vt:lpstr>ยางรถ(ระยะทาง)</vt:lpstr>
      <vt:lpstr>ยางรถ (ปี)</vt:lpstr>
      <vt:lpstr>ค่าบำรุงรักษา(ปี)</vt:lpstr>
      <vt:lpstr>ค่าบำรุงรักษา (ระยะทาง)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Acer</dc:creator>
  <cp:lastModifiedBy>Acer</cp:lastModifiedBy>
  <dcterms:created xsi:type="dcterms:W3CDTF">2026-04-25T05:27:19Z</dcterms:created>
  <dcterms:modified xsi:type="dcterms:W3CDTF">2026-05-27T04:36:03Z</dcterms:modified>
</cp:coreProperties>
</file>